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driana\Desktop\"/>
    </mc:Choice>
  </mc:AlternateContent>
  <xr:revisionPtr revIDLastSave="0" documentId="13_ncr:1_{F32E4957-DBF2-4A0A-8194-5A979F983EF7}" xr6:coauthVersionLast="47" xr6:coauthVersionMax="47" xr10:uidLastSave="{00000000-0000-0000-0000-000000000000}"/>
  <bookViews>
    <workbookView xWindow="11424" yWindow="0" windowWidth="11712" windowHeight="12336" firstSheet="6" activeTab="6" xr2:uid="{BCAF168C-AC38-483B-9417-B93BDF091AE0}"/>
  </bookViews>
  <sheets>
    <sheet name="Northwest_Corner_Method" sheetId="5" r:id="rId1"/>
    <sheet name="Least_Cost_Method" sheetId="1" r:id="rId2"/>
    <sheet name="Vogel_Approximation_Method" sheetId="4" r:id="rId3"/>
    <sheet name="Excel_Solver_Base_Case" sheetId="3" r:id="rId4"/>
    <sheet name="Excel_Solver_Demand_Increase" sheetId="8" r:id="rId5"/>
    <sheet name="Excel_Solver_Supply_Reduction" sheetId="10" r:id="rId6"/>
    <sheet name="Method_Comparison" sheetId="12" r:id="rId7"/>
  </sheets>
  <definedNames>
    <definedName name="solver_adj" localSheetId="3" hidden="1">Excel_Solver_Base_Case!$C$5:$E$10</definedName>
    <definedName name="solver_adj" localSheetId="4" hidden="1">Excel_Solver_Demand_Increase!$C$7:$E$13</definedName>
    <definedName name="solver_adj" localSheetId="5" hidden="1">Excel_Solver_Supply_Reduction!$C$7:$E$13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3" hidden="1">Excel_Solver_Base_Case!$C$12:$E$12</definedName>
    <definedName name="solver_lhs1" localSheetId="4" hidden="1">Excel_Solver_Demand_Increase!$C$15:$E$15</definedName>
    <definedName name="solver_lhs1" localSheetId="5" hidden="1">Excel_Solver_Supply_Reduction!$C$15:$E$15</definedName>
    <definedName name="solver_lhs2" localSheetId="3" hidden="1">Excel_Solver_Base_Case!$C$5:$E$10</definedName>
    <definedName name="solver_lhs2" localSheetId="4" hidden="1">Excel_Solver_Demand_Increase!$C$7:$E$13</definedName>
    <definedName name="solver_lhs2" localSheetId="5" hidden="1">Excel_Solver_Supply_Reduction!$C$7:$E$13</definedName>
    <definedName name="solver_lhs3" localSheetId="3" hidden="1">Excel_Solver_Base_Case!$C$5:$E$10</definedName>
    <definedName name="solver_lhs3" localSheetId="4" hidden="1">Excel_Solver_Demand_Increase!$C$7:$E$13</definedName>
    <definedName name="solver_lhs3" localSheetId="5" hidden="1">Excel_Solver_Supply_Reduction!$C$7:$E$13</definedName>
    <definedName name="solver_lhs4" localSheetId="3" hidden="1">Excel_Solver_Base_Case!$G$5:$G$10</definedName>
    <definedName name="solver_lhs4" localSheetId="4" hidden="1">Excel_Solver_Demand_Increase!$G$7:$G$13</definedName>
    <definedName name="solver_lhs4" localSheetId="5" hidden="1">Excel_Solver_Supply_Reduction!$G$7:$G$13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3" hidden="1">4</definedName>
    <definedName name="solver_num" localSheetId="4" hidden="1">4</definedName>
    <definedName name="solver_num" localSheetId="5" hidden="1">4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3" hidden="1">Excel_Solver_Base_Case!$I$16</definedName>
    <definedName name="solver_opt" localSheetId="4" hidden="1">Excel_Solver_Demand_Increase!$C$16</definedName>
    <definedName name="solver_opt" localSheetId="5" hidden="1">Excel_Solver_Supply_Reduction!$C$16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2" localSheetId="3" hidden="1">4</definedName>
    <definedName name="solver_rel2" localSheetId="4" hidden="1">4</definedName>
    <definedName name="solver_rel2" localSheetId="5" hidden="1">4</definedName>
    <definedName name="solver_rel3" localSheetId="3" hidden="1">3</definedName>
    <definedName name="solver_rel3" localSheetId="4" hidden="1">3</definedName>
    <definedName name="solver_rel3" localSheetId="5" hidden="1">3</definedName>
    <definedName name="solver_rel4" localSheetId="3" hidden="1">2</definedName>
    <definedName name="solver_rel4" localSheetId="4" hidden="1">2</definedName>
    <definedName name="solver_rel4" localSheetId="5" hidden="1">2</definedName>
    <definedName name="solver_rhs1" localSheetId="3" hidden="1">Excel_Solver_Base_Case!$C$11:$E$11</definedName>
    <definedName name="solver_rhs1" localSheetId="4" hidden="1">Excel_Solver_Demand_Increase!$C$14:$E$14</definedName>
    <definedName name="solver_rhs1" localSheetId="5" hidden="1">Excel_Solver_Supply_Reduction!$C$14:$E$14</definedName>
    <definedName name="solver_rhs2" localSheetId="3" hidden="1">"integer"</definedName>
    <definedName name="solver_rhs2" localSheetId="4" hidden="1">"integer"</definedName>
    <definedName name="solver_rhs2" localSheetId="5" hidden="1">"integer"</definedName>
    <definedName name="solver_rhs3" localSheetId="3" hidden="1">0</definedName>
    <definedName name="solver_rhs3" localSheetId="4" hidden="1">0</definedName>
    <definedName name="solver_rhs3" localSheetId="5" hidden="1">0</definedName>
    <definedName name="solver_rhs4" localSheetId="3" hidden="1">Excel_Solver_Base_Case!$F$5:$F$10</definedName>
    <definedName name="solver_rhs4" localSheetId="4" hidden="1">Excel_Solver_Demand_Increase!$F$7:$F$13</definedName>
    <definedName name="solver_rhs4" localSheetId="5" hidden="1">Excel_Solver_Supply_Reduction!$F$7:$F$13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5" l="1"/>
  <c r="C24" i="5"/>
  <c r="C22" i="5"/>
  <c r="C20" i="5"/>
  <c r="C16" i="8"/>
  <c r="C15" i="8"/>
  <c r="G7" i="8"/>
  <c r="G7" i="3"/>
  <c r="E12" i="3"/>
  <c r="G5" i="3"/>
  <c r="G6" i="3"/>
  <c r="C18" i="1"/>
  <c r="C16" i="10"/>
  <c r="C13" i="3"/>
  <c r="F14" i="10"/>
  <c r="F11" i="3"/>
  <c r="C15" i="10"/>
  <c r="E15" i="10"/>
  <c r="D15" i="10"/>
  <c r="G13" i="10"/>
  <c r="G12" i="10"/>
  <c r="G11" i="10"/>
  <c r="G10" i="10"/>
  <c r="G9" i="10"/>
  <c r="G8" i="10"/>
  <c r="G7" i="10"/>
  <c r="G13" i="8"/>
  <c r="G12" i="8"/>
  <c r="G11" i="8"/>
  <c r="G10" i="8"/>
  <c r="G9" i="8"/>
  <c r="G8" i="8"/>
  <c r="D15" i="8"/>
  <c r="E15" i="8"/>
  <c r="F14" i="8"/>
  <c r="G13" i="5"/>
  <c r="C27" i="5" s="1"/>
  <c r="E9" i="5"/>
  <c r="C5" i="5"/>
  <c r="C7" i="5" s="1"/>
  <c r="E7" i="5" s="1"/>
  <c r="I16" i="5"/>
  <c r="I15" i="1"/>
  <c r="C12" i="3"/>
  <c r="G8" i="3"/>
  <c r="G9" i="3"/>
  <c r="G10" i="3"/>
  <c r="D12" i="3"/>
  <c r="E11" i="5" l="1"/>
  <c r="G11" i="5" l="1"/>
  <c r="G15" i="5" s="1"/>
  <c r="C29" i="5" s="1"/>
  <c r="C26" i="5" l="1"/>
</calcChain>
</file>

<file path=xl/sharedStrings.xml><?xml version="1.0" encoding="utf-8"?>
<sst xmlns="http://schemas.openxmlformats.org/spreadsheetml/2006/main" count="350" uniqueCount="72">
  <si>
    <t>Gudang BERNAS</t>
  </si>
  <si>
    <t>Gudang Ray Synergy</t>
  </si>
  <si>
    <t>Gudang CCW</t>
  </si>
  <si>
    <t>Supply</t>
  </si>
  <si>
    <t>KBB Simpang Lima, Perak</t>
  </si>
  <si>
    <t>KBB Bukit Besar, Kedah</t>
  </si>
  <si>
    <t>KBB Sungai Limau, Kedah</t>
  </si>
  <si>
    <t>KBB Bukit Raya, Kedah</t>
  </si>
  <si>
    <t>KBB Utan Aji, Perlis</t>
  </si>
  <si>
    <t>8 (end)</t>
  </si>
  <si>
    <t>KBB Paya Keladi, Penang</t>
  </si>
  <si>
    <t>1 (start)</t>
  </si>
  <si>
    <t>Demand</t>
  </si>
  <si>
    <t>Total Cost</t>
  </si>
  <si>
    <t>Rice Mills</t>
  </si>
  <si>
    <t>Warehouse</t>
  </si>
  <si>
    <t>Row Penalty</t>
  </si>
  <si>
    <t>Gudang Synergy</t>
  </si>
  <si>
    <t>KBB Simpang Lima</t>
  </si>
  <si>
    <t>141-126 = 15</t>
  </si>
  <si>
    <t>KBB Bukit Besar</t>
  </si>
  <si>
    <t>264-258 = 6</t>
  </si>
  <si>
    <t>KBB Sungai Limau</t>
  </si>
  <si>
    <t>240-237 = 3</t>
  </si>
  <si>
    <t>KBB Bukit Raya</t>
  </si>
  <si>
    <t>255-252 = 3</t>
  </si>
  <si>
    <t>KBB Utan Aji</t>
  </si>
  <si>
    <t>471-468 =3</t>
  </si>
  <si>
    <t>KBB Paya Keladi</t>
  </si>
  <si>
    <t> </t>
  </si>
  <si>
    <t>81-78 =3</t>
  </si>
  <si>
    <t>Column Penalty</t>
  </si>
  <si>
    <t>162-84 = 78</t>
  </si>
  <si>
    <t>141-78 = 63</t>
  </si>
  <si>
    <t>126-81 = 45</t>
  </si>
  <si>
    <t>243-162 = 81</t>
  </si>
  <si>
    <t>237-141 = 96</t>
  </si>
  <si>
    <t>240-126 = 114</t>
  </si>
  <si>
    <t>261-243 = 18</t>
  </si>
  <si>
    <t>255-237 = 18</t>
  </si>
  <si>
    <t>252-240 = 12</t>
  </si>
  <si>
    <t>267 -261 = 6</t>
  </si>
  <si>
    <t>258-255 = 3</t>
  </si>
  <si>
    <t>264-252 = 12</t>
  </si>
  <si>
    <t>267- 258 = 9</t>
  </si>
  <si>
    <t>261-255 =6</t>
  </si>
  <si>
    <t>471-468=3</t>
  </si>
  <si>
    <t>267 - 261 = 6</t>
  </si>
  <si>
    <t>258 - 255 = 3</t>
  </si>
  <si>
    <t>261-255 = 6</t>
  </si>
  <si>
    <t>471-261 = 210</t>
  </si>
  <si>
    <t>468-255 = 213</t>
  </si>
  <si>
    <t xml:space="preserve">Total = </t>
  </si>
  <si>
    <t>BERNAS Use Case</t>
  </si>
  <si>
    <t>Rice</t>
  </si>
  <si>
    <t>Transportation Cost</t>
  </si>
  <si>
    <t>Shipped</t>
  </si>
  <si>
    <t>Rice Shipped</t>
  </si>
  <si>
    <t>Cost</t>
  </si>
  <si>
    <t>Location</t>
  </si>
  <si>
    <t>Total Transportation Cost</t>
  </si>
  <si>
    <t>Dummy</t>
  </si>
  <si>
    <t>BERNAS Use Case - Scenario 1: Increase Demand at Gudang Ray Synergy from 300 to 400 tons</t>
  </si>
  <si>
    <t># Add penalty for unmet demand  (RM 600 per tons) to dummy allocations, reflecting the cost of failing to meet warehouse demand.</t>
  </si>
  <si>
    <t>Northwest</t>
  </si>
  <si>
    <t>Least Cost Method</t>
  </si>
  <si>
    <t>Vogel</t>
  </si>
  <si>
    <t>Excel solver</t>
  </si>
  <si>
    <t>Scenario 1</t>
  </si>
  <si>
    <t>Scenario 2</t>
  </si>
  <si>
    <t>Original Setting</t>
  </si>
  <si>
    <t>BERNAS Use Case - Scenario 2: Reduced Supply at KBB Bukit Besar from 250 to 200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</si>
</sst>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2" borderId="20" xfId="0" applyFont="1" applyFill="1" applyBorder="1" applyAlignment="1">
      <alignment horizontal="center"/>
    </xf>
    <xf numFmtId="0" fontId="1" fillId="0" borderId="20" xfId="0" applyFont="1" applyBorder="1"/>
    <xf numFmtId="0" fontId="1" fillId="2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 wrapText="1"/>
    </xf>
    <xf numFmtId="0" fontId="2" fillId="5" borderId="1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2" fillId="5" borderId="5" xfId="0" applyFont="1" applyFill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 wrapText="1"/>
    </xf>
    <xf numFmtId="0" fontId="2" fillId="5" borderId="0" xfId="0" applyFont="1" applyFill="1" applyAlignment="1">
      <alignment horizontal="center" vertical="center" wrapText="1"/>
    </xf>
    <xf numFmtId="0" fontId="2" fillId="5" borderId="6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20" xfId="0" applyFont="1" applyBorder="1"/>
    <xf numFmtId="0" fontId="4" fillId="0" borderId="19" xfId="0" applyFont="1" applyBorder="1"/>
    <xf numFmtId="0" fontId="5" fillId="0" borderId="0" xfId="0" applyFont="1"/>
    <xf numFmtId="0" fontId="4" fillId="0" borderId="30" xfId="0" applyFont="1" applyBorder="1"/>
    <xf numFmtId="0" fontId="4" fillId="7" borderId="2" xfId="0" applyFont="1" applyFill="1" applyBorder="1"/>
    <xf numFmtId="0" fontId="5" fillId="0" borderId="19" xfId="0" applyFont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top" wrapText="1"/>
    </xf>
    <xf numFmtId="0" fontId="2" fillId="11" borderId="5" xfId="0" applyFont="1" applyFill="1" applyBorder="1" applyAlignment="1">
      <alignment horizontal="left" vertical="top" wrapText="1"/>
    </xf>
    <xf numFmtId="0" fontId="2" fillId="11" borderId="5" xfId="0" applyFont="1" applyFill="1" applyBorder="1" applyAlignment="1">
      <alignment horizontal="right" vertical="top" wrapText="1"/>
    </xf>
    <xf numFmtId="0" fontId="2" fillId="11" borderId="6" xfId="0" applyFont="1" applyFill="1" applyBorder="1" applyAlignment="1">
      <alignment horizontal="right" vertical="top" wrapText="1"/>
    </xf>
    <xf numFmtId="0" fontId="8" fillId="0" borderId="4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11" borderId="1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12" borderId="11" xfId="0" applyFont="1" applyFill="1" applyBorder="1" applyAlignment="1">
      <alignment horizontal="center"/>
    </xf>
    <xf numFmtId="0" fontId="1" fillId="0" borderId="11" xfId="0" applyFont="1" applyBorder="1"/>
    <xf numFmtId="3" fontId="0" fillId="0" borderId="11" xfId="0" applyNumberFormat="1" applyBorder="1"/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11" borderId="8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5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2" xfId="0" applyFont="1" applyBorder="1"/>
    <xf numFmtId="0" fontId="5" fillId="0" borderId="1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9" borderId="13" xfId="0" applyFont="1" applyFill="1" applyBorder="1"/>
    <xf numFmtId="0" fontId="4" fillId="9" borderId="14" xfId="0" applyFont="1" applyFill="1" applyBorder="1"/>
    <xf numFmtId="0" fontId="4" fillId="9" borderId="18" xfId="0" applyFont="1" applyFill="1" applyBorder="1"/>
    <xf numFmtId="0" fontId="4" fillId="9" borderId="19" xfId="0" applyFont="1" applyFill="1" applyBorder="1"/>
    <xf numFmtId="0" fontId="4" fillId="0" borderId="31" xfId="0" applyFont="1" applyBorder="1"/>
    <xf numFmtId="0" fontId="4" fillId="0" borderId="32" xfId="0" applyFont="1" applyBorder="1"/>
    <xf numFmtId="0" fontId="5" fillId="0" borderId="15" xfId="0" applyFont="1" applyBorder="1"/>
    <xf numFmtId="0" fontId="5" fillId="0" borderId="12" xfId="0" applyFont="1" applyBorder="1"/>
    <xf numFmtId="0" fontId="5" fillId="0" borderId="35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0" borderId="7" xfId="0" applyFont="1" applyBorder="1"/>
    <xf numFmtId="0" fontId="4" fillId="0" borderId="30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8" xfId="0" applyFont="1" applyBorder="1"/>
    <xf numFmtId="0" fontId="5" fillId="0" borderId="19" xfId="0" applyFont="1" applyBorder="1"/>
    <xf numFmtId="0" fontId="6" fillId="0" borderId="35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4" fillId="7" borderId="38" xfId="0" applyFont="1" applyFill="1" applyBorder="1"/>
    <xf numFmtId="0" fontId="4" fillId="7" borderId="31" xfId="0" applyFont="1" applyFill="1" applyBorder="1"/>
    <xf numFmtId="0" fontId="4" fillId="7" borderId="30" xfId="0" applyFont="1" applyFill="1" applyBorder="1"/>
    <xf numFmtId="0" fontId="5" fillId="9" borderId="35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4" fillId="8" borderId="13" xfId="0" applyFont="1" applyFill="1" applyBorder="1"/>
    <xf numFmtId="0" fontId="4" fillId="8" borderId="14" xfId="0" applyFont="1" applyFill="1" applyBorder="1"/>
    <xf numFmtId="0" fontId="4" fillId="8" borderId="18" xfId="0" applyFont="1" applyFill="1" applyBorder="1"/>
    <xf numFmtId="0" fontId="4" fillId="8" borderId="19" xfId="0" applyFont="1" applyFill="1" applyBorder="1"/>
    <xf numFmtId="0" fontId="4" fillId="7" borderId="32" xfId="0" applyFont="1" applyFill="1" applyBorder="1"/>
    <xf numFmtId="0" fontId="5" fillId="8" borderId="13" xfId="0" applyFont="1" applyFill="1" applyBorder="1" applyAlignment="1">
      <alignment horizontal="center"/>
    </xf>
    <xf numFmtId="0" fontId="5" fillId="8" borderId="26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35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9" borderId="23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4" fillId="9" borderId="31" xfId="0" applyFont="1" applyFill="1" applyBorder="1"/>
    <xf numFmtId="0" fontId="4" fillId="9" borderId="32" xfId="0" applyFont="1" applyFill="1" applyBorder="1"/>
    <xf numFmtId="0" fontId="4" fillId="0" borderId="5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8" borderId="34" xfId="0" applyFont="1" applyFill="1" applyBorder="1" applyAlignment="1">
      <alignment horizontal="center"/>
    </xf>
    <xf numFmtId="0" fontId="6" fillId="8" borderId="27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0" fontId="4" fillId="9" borderId="28" xfId="0" applyFont="1" applyFill="1" applyBorder="1" applyAlignment="1">
      <alignment horizontal="center"/>
    </xf>
    <xf numFmtId="0" fontId="5" fillId="0" borderId="0" xfId="0" applyFont="1"/>
    <xf numFmtId="0" fontId="5" fillId="9" borderId="16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4" fillId="8" borderId="36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5" fillId="8" borderId="34" xfId="0" applyFont="1" applyFill="1" applyBorder="1" applyAlignment="1">
      <alignment horizontal="center"/>
    </xf>
    <xf numFmtId="0" fontId="5" fillId="8" borderId="27" xfId="0" applyFont="1" applyFill="1" applyBorder="1" applyAlignment="1">
      <alignment horizontal="center"/>
    </xf>
    <xf numFmtId="0" fontId="4" fillId="8" borderId="37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3" xfId="0" applyFont="1" applyBorder="1" applyAlignment="1">
      <alignment horizontal="center"/>
    </xf>
    <xf numFmtId="0" fontId="5" fillId="8" borderId="33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9" borderId="22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4" fillId="0" borderId="18" xfId="0" applyFont="1" applyBorder="1"/>
    <xf numFmtId="0" fontId="4" fillId="0" borderId="19" xfId="0" applyFont="1" applyBorder="1"/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7" fillId="8" borderId="34" xfId="0" applyFont="1" applyFill="1" applyBorder="1" applyAlignment="1">
      <alignment horizontal="center"/>
    </xf>
    <xf numFmtId="0" fontId="7" fillId="8" borderId="20" xfId="0" applyFont="1" applyFill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7" fillId="0" borderId="0" xfId="0" applyFont="1"/>
    <xf numFmtId="0" fontId="5" fillId="8" borderId="13" xfId="0" applyFont="1" applyFill="1" applyBorder="1" applyAlignment="1">
      <alignment horizontal="center" vertical="top"/>
    </xf>
    <xf numFmtId="0" fontId="5" fillId="8" borderId="26" xfId="0" applyFont="1" applyFill="1" applyBorder="1" applyAlignment="1">
      <alignment horizontal="center" vertical="top"/>
    </xf>
    <xf numFmtId="0" fontId="5" fillId="8" borderId="14" xfId="0" applyFont="1" applyFill="1" applyBorder="1" applyAlignment="1">
      <alignment horizontal="center" vertical="top"/>
    </xf>
    <xf numFmtId="0" fontId="5" fillId="8" borderId="18" xfId="0" applyFont="1" applyFill="1" applyBorder="1" applyAlignment="1">
      <alignment horizontal="center" vertical="top"/>
    </xf>
    <xf numFmtId="0" fontId="5" fillId="8" borderId="35" xfId="0" applyFont="1" applyFill="1" applyBorder="1" applyAlignment="1">
      <alignment horizontal="center" vertical="top"/>
    </xf>
    <xf numFmtId="0" fontId="5" fillId="8" borderId="19" xfId="0" applyFont="1" applyFill="1" applyBorder="1" applyAlignment="1">
      <alignment horizontal="center" vertical="top"/>
    </xf>
    <xf numFmtId="0" fontId="4" fillId="0" borderId="0" xfId="0" applyFont="1"/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26" xfId="0" applyFont="1" applyBorder="1"/>
    <xf numFmtId="0" fontId="4" fillId="0" borderId="24" xfId="0" applyFont="1" applyBorder="1"/>
    <xf numFmtId="0" fontId="4" fillId="0" borderId="33" xfId="0" applyFont="1" applyBorder="1"/>
    <xf numFmtId="0" fontId="5" fillId="0" borderId="34" xfId="0" applyFont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39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 vertical="top"/>
    </xf>
    <xf numFmtId="0" fontId="5" fillId="8" borderId="39" xfId="0" applyFont="1" applyFill="1" applyBorder="1" applyAlignment="1">
      <alignment horizontal="center" vertical="top"/>
    </xf>
    <xf numFmtId="0" fontId="5" fillId="8" borderId="24" xfId="0" applyFont="1" applyFill="1" applyBorder="1" applyAlignment="1">
      <alignment horizontal="center" vertical="top"/>
    </xf>
    <xf numFmtId="0" fontId="5" fillId="8" borderId="25" xfId="0" applyFont="1" applyFill="1" applyBorder="1" applyAlignment="1">
      <alignment horizontal="center" vertical="top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80664916885393E-2"/>
          <c:y val="0.19430555555555556"/>
          <c:w val="0.90004155730533686"/>
          <c:h val="0.606142096821230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Method_Comparison!$B$3</c:f>
              <c:strCache>
                <c:ptCount val="1"/>
                <c:pt idx="0">
                  <c:v>Total Cost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Method_Comparison!$C$2:$F$2</c:f>
              <c:strCache>
                <c:ptCount val="4"/>
                <c:pt idx="0">
                  <c:v>Northwest</c:v>
                </c:pt>
                <c:pt idx="1">
                  <c:v>Least Cost Method</c:v>
                </c:pt>
                <c:pt idx="2">
                  <c:v>Vogel</c:v>
                </c:pt>
                <c:pt idx="3">
                  <c:v>Excel solver</c:v>
                </c:pt>
              </c:strCache>
            </c:strRef>
          </c:cat>
          <c:val>
            <c:numRef>
              <c:f>Method_Comparison!$C$3:$F$3</c:f>
              <c:numCache>
                <c:formatCode>#,##0</c:formatCode>
                <c:ptCount val="4"/>
                <c:pt idx="0">
                  <c:v>254190</c:v>
                </c:pt>
                <c:pt idx="1">
                  <c:v>247290</c:v>
                </c:pt>
                <c:pt idx="2">
                  <c:v>246720</c:v>
                </c:pt>
                <c:pt idx="3">
                  <c:v>246660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D-469D-A0BF-017BE86C51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17744560"/>
        <c:axId val="790271584"/>
      </c:barChart>
      <c:catAx>
        <c:axId val="5177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71584"/>
        <c:crosses val="autoZero"/>
        <c:auto val="1"/>
        <c:lblAlgn val="ctr"/>
        <c:lblOffset val="100"/>
        <c:noMultiLvlLbl val="0"/>
      </c:catAx>
      <c:valAx>
        <c:axId val="79027158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1774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BERNAS Case</a:t>
            </a:r>
          </a:p>
        </c:rich>
      </c:tx>
      <c:layout>
        <c:manualLayout>
          <c:xMode val="edge"/>
          <c:yMode val="edge"/>
          <c:x val="0.40527077865266847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63648293963254"/>
          <c:y val="0.16708333333333336"/>
          <c:w val="0.84580796150481186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Method_Comparison!$B$9</c:f>
              <c:strCache>
                <c:ptCount val="1"/>
                <c:pt idx="0">
                  <c:v>Cost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Method_Comparison!$C$8:$E$8</c:f>
              <c:strCache>
                <c:ptCount val="3"/>
                <c:pt idx="0">
                  <c:v>Original Setting</c:v>
                </c:pt>
                <c:pt idx="1">
                  <c:v>Scenario 1</c:v>
                </c:pt>
                <c:pt idx="2">
                  <c:v>Scenario 2</c:v>
                </c:pt>
              </c:strCache>
            </c:strRef>
          </c:cat>
          <c:val>
            <c:numRef>
              <c:f>Method_Comparison!$C$9:$E$9</c:f>
              <c:numCache>
                <c:formatCode>#,##0</c:formatCode>
                <c:ptCount val="3"/>
                <c:pt idx="0">
                  <c:v>246660</c:v>
                </c:pt>
                <c:pt idx="1">
                  <c:v>306060</c:v>
                </c:pt>
                <c:pt idx="2">
                  <c:v>263460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9-4846-B88B-AB44369433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33330992"/>
        <c:axId val="933319472"/>
      </c:barChart>
      <c:catAx>
        <c:axId val="9333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19472"/>
        <c:crosses val="autoZero"/>
        <c:auto val="1"/>
        <c:lblAlgn val="ctr"/>
        <c:lblOffset val="100"/>
        <c:noMultiLvlLbl val="0"/>
      </c:catAx>
      <c:valAx>
        <c:axId val="9333194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3333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5</xdr:row>
      <xdr:rowOff>0</xdr:rowOff>
    </xdr:from>
    <xdr:to>
      <xdr:col>2</xdr:col>
      <xdr:colOff>520700</xdr:colOff>
      <xdr:row>6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2EE234C-A9C7-39B8-CDE6-C39217FE6B44}"/>
            </a:ext>
          </a:extLst>
        </xdr:cNvPr>
        <xdr:cNvCxnSpPr/>
      </xdr:nvCxnSpPr>
      <xdr:spPr>
        <a:xfrm>
          <a:off x="2387600" y="920750"/>
          <a:ext cx="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7</xdr:row>
      <xdr:rowOff>0</xdr:rowOff>
    </xdr:from>
    <xdr:to>
      <xdr:col>4</xdr:col>
      <xdr:colOff>514350</xdr:colOff>
      <xdr:row>8</xdr:row>
      <xdr:rowOff>25400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38E1CBF-6127-4C05-8582-3B5F620A7A43}"/>
            </a:ext>
          </a:extLst>
        </xdr:cNvPr>
        <xdr:cNvCxnSpPr/>
      </xdr:nvCxnSpPr>
      <xdr:spPr>
        <a:xfrm>
          <a:off x="3416300" y="1289050"/>
          <a:ext cx="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8</xdr:row>
      <xdr:rowOff>177800</xdr:rowOff>
    </xdr:from>
    <xdr:to>
      <xdr:col>4</xdr:col>
      <xdr:colOff>514350</xdr:colOff>
      <xdr:row>10</xdr:row>
      <xdr:rowOff>19050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EC40792-3A7B-41CA-B71E-F2CCB230D744}"/>
            </a:ext>
          </a:extLst>
        </xdr:cNvPr>
        <xdr:cNvCxnSpPr/>
      </xdr:nvCxnSpPr>
      <xdr:spPr>
        <a:xfrm>
          <a:off x="3536950" y="16510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488950</xdr:colOff>
      <xdr:row>11</xdr:row>
      <xdr:rowOff>6350</xdr:rowOff>
    </xdr:from>
    <xdr:to>
      <xdr:col>6</xdr:col>
      <xdr:colOff>488950</xdr:colOff>
      <xdr:row>12</xdr:row>
      <xdr:rowOff>31750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FF4D908-99B3-4B69-9613-B769991F49D2}"/>
            </a:ext>
          </a:extLst>
        </xdr:cNvPr>
        <xdr:cNvCxnSpPr/>
      </xdr:nvCxnSpPr>
      <xdr:spPr>
        <a:xfrm>
          <a:off x="4375150" y="2032000"/>
          <a:ext cx="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482600</xdr:colOff>
      <xdr:row>13</xdr:row>
      <xdr:rowOff>12700</xdr:rowOff>
    </xdr:from>
    <xdr:to>
      <xdr:col>6</xdr:col>
      <xdr:colOff>482600</xdr:colOff>
      <xdr:row>14</xdr:row>
      <xdr:rowOff>38100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13BF698-6AF0-4DE6-A16B-0AA9BB030FD1}"/>
            </a:ext>
          </a:extLst>
        </xdr:cNvPr>
        <xdr:cNvCxnSpPr/>
      </xdr:nvCxnSpPr>
      <xdr:spPr>
        <a:xfrm>
          <a:off x="4368800" y="2406650"/>
          <a:ext cx="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6</xdr:row>
      <xdr:rowOff>95250</xdr:rowOff>
    </xdr:from>
    <xdr:to>
      <xdr:col>4</xdr:col>
      <xdr:colOff>323850</xdr:colOff>
      <xdr:row>6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1EEA61D-5383-4F56-AF60-BCC4CABE2FAA}"/>
            </a:ext>
          </a:extLst>
        </xdr:cNvPr>
        <xdr:cNvCxnSpPr/>
      </xdr:nvCxnSpPr>
      <xdr:spPr>
        <a:xfrm>
          <a:off x="2679700" y="120015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704850</xdr:colOff>
      <xdr:row>10</xdr:row>
      <xdr:rowOff>82550</xdr:rowOff>
    </xdr:from>
    <xdr:to>
      <xdr:col>6</xdr:col>
      <xdr:colOff>266700</xdr:colOff>
      <xdr:row>10</xdr:row>
      <xdr:rowOff>88900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0783FE3-2F4C-4F28-89FA-C8E05E9B67C0}"/>
            </a:ext>
          </a:extLst>
        </xdr:cNvPr>
        <xdr:cNvCxnSpPr/>
      </xdr:nvCxnSpPr>
      <xdr:spPr>
        <a:xfrm>
          <a:off x="3606800" y="192405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2</xdr:row>
      <xdr:rowOff>171450</xdr:rowOff>
    </xdr:from>
    <xdr:to>
      <xdr:col>6</xdr:col>
      <xdr:colOff>514350</xdr:colOff>
      <xdr:row>12</xdr:row>
      <xdr:rowOff>57150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4996D491-7C81-8D00-3254-4AEC0F5FD7AF}"/>
            </a:ext>
          </a:extLst>
        </xdr:cNvPr>
        <xdr:cNvCxnSpPr/>
      </xdr:nvCxnSpPr>
      <xdr:spPr>
        <a:xfrm flipV="1">
          <a:off x="4048125" y="552450"/>
          <a:ext cx="1352550" cy="1790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2</xdr:row>
      <xdr:rowOff>180975</xdr:rowOff>
    </xdr:from>
    <xdr:to>
      <xdr:col>6</xdr:col>
      <xdr:colOff>514350</xdr:colOff>
      <xdr:row>6</xdr:row>
      <xdr:rowOff>171450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42895B5F-2180-4A53-A44C-00F1C588C2CC}"/>
            </a:ext>
          </a:extLst>
        </xdr:cNvPr>
        <xdr:cNvCxnSpPr/>
      </xdr:nvCxnSpPr>
      <xdr:spPr>
        <a:xfrm flipH="1">
          <a:off x="4038600" y="561975"/>
          <a:ext cx="1362075" cy="752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6</xdr:row>
      <xdr:rowOff>152400</xdr:rowOff>
    </xdr:from>
    <xdr:to>
      <xdr:col>6</xdr:col>
      <xdr:colOff>619125</xdr:colOff>
      <xdr:row>8</xdr:row>
      <xdr:rowOff>161925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C1190D3B-D183-4E8D-8AAD-E5BCD5DEF850}"/>
            </a:ext>
          </a:extLst>
        </xdr:cNvPr>
        <xdr:cNvCxnSpPr/>
      </xdr:nvCxnSpPr>
      <xdr:spPr>
        <a:xfrm>
          <a:off x="4076700" y="1295400"/>
          <a:ext cx="1428750" cy="390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8</xdr:row>
      <xdr:rowOff>180975</xdr:rowOff>
    </xdr:from>
    <xdr:to>
      <xdr:col>6</xdr:col>
      <xdr:colOff>552450</xdr:colOff>
      <xdr:row>8</xdr:row>
      <xdr:rowOff>180975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B2D27CA-E1ED-45DE-B530-C204DC2B0A0B}"/>
            </a:ext>
          </a:extLst>
        </xdr:cNvPr>
        <xdr:cNvCxnSpPr/>
      </xdr:nvCxnSpPr>
      <xdr:spPr>
        <a:xfrm flipH="1">
          <a:off x="3905250" y="1704975"/>
          <a:ext cx="15335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4</xdr:row>
      <xdr:rowOff>152400</xdr:rowOff>
    </xdr:from>
    <xdr:to>
      <xdr:col>4</xdr:col>
      <xdr:colOff>371475</xdr:colOff>
      <xdr:row>9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EC994BB6-C6F5-43DF-959F-032E7C0D7ED0}"/>
            </a:ext>
          </a:extLst>
        </xdr:cNvPr>
        <xdr:cNvCxnSpPr/>
      </xdr:nvCxnSpPr>
      <xdr:spPr>
        <a:xfrm flipV="1">
          <a:off x="3924300" y="914400"/>
          <a:ext cx="9525" cy="800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5</xdr:row>
      <xdr:rowOff>9525</xdr:rowOff>
    </xdr:from>
    <xdr:to>
      <xdr:col>4</xdr:col>
      <xdr:colOff>400050</xdr:colOff>
      <xdr:row>5</xdr:row>
      <xdr:rowOff>19050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779E0D3D-DF3A-40FA-99DD-9EF58B5A8F94}"/>
            </a:ext>
          </a:extLst>
        </xdr:cNvPr>
        <xdr:cNvCxnSpPr/>
      </xdr:nvCxnSpPr>
      <xdr:spPr>
        <a:xfrm flipH="1" flipV="1">
          <a:off x="2676525" y="962025"/>
          <a:ext cx="12858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514350</xdr:colOff>
      <xdr:row>5</xdr:row>
      <xdr:rowOff>28575</xdr:rowOff>
    </xdr:from>
    <xdr:to>
      <xdr:col>2</xdr:col>
      <xdr:colOff>523875</xdr:colOff>
      <xdr:row>10</xdr:row>
      <xdr:rowOff>142875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5D39D3BC-185A-461C-BF72-3FDA07727136}"/>
            </a:ext>
          </a:extLst>
        </xdr:cNvPr>
        <xdr:cNvCxnSpPr/>
      </xdr:nvCxnSpPr>
      <xdr:spPr>
        <a:xfrm flipH="1">
          <a:off x="2695575" y="981075"/>
          <a:ext cx="9525" cy="1066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9</xdr:col>
      <xdr:colOff>533400</xdr:colOff>
      <xdr:row>129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1BC73-27E8-2A1B-924F-B472231F6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4955500"/>
          <a:ext cx="4572000" cy="619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171450</xdr:rowOff>
    </xdr:from>
    <xdr:to>
      <xdr:col>5</xdr:col>
      <xdr:colOff>257175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84204-9649-53D0-6A47-664C3D11E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720725</xdr:colOff>
      <xdr:row>11</xdr:row>
      <xdr:rowOff>139700</xdr:rowOff>
    </xdr:from>
    <xdr:to>
      <xdr:col>12</xdr:col>
      <xdr:colOff>555625</xdr:colOff>
      <xdr:row>26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297321-4332-E646-FAD1-FCFDAD6C3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351CCA-F6E4-4DEC-ACDD-ABF1665604E7}">
  <we:reference id="1e10eb66-9ba2-46e3-84ee-57e2a49831f0" version="3.0.0.1" store="EXCatalog" storeType="EXCatalog"/>
  <we:alternateReferences>
    <we:reference id="WA104100404" version="3.0.0.1" store="en-MY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A675-5816-4551-9165-898C34569A9A}">
  <dimension ref="B2:I30"/>
  <sheetViews>
    <sheetView topLeftCell="A3" workbookViewId="0">
      <selection activeCell="C30" sqref="C30"/>
    </sheetView>
  </sheetViews>
  <sheetFormatPr defaultRowHeight="14.4" x14ac:dyDescent="0.3"/>
  <cols>
    <col min="2" max="2" width="18" customWidth="1"/>
    <col min="3" max="3" width="10" customWidth="1"/>
    <col min="4" max="4" width="4" customWidth="1"/>
    <col min="5" max="5" width="10.5546875" customWidth="1"/>
    <col min="6" max="6" width="3.88671875" customWidth="1"/>
    <col min="7" max="7" width="9.6640625" customWidth="1"/>
    <col min="8" max="8" width="3.88671875" customWidth="1"/>
  </cols>
  <sheetData>
    <row r="2" spans="2:9" ht="15" thickBot="1" x14ac:dyDescent="0.35"/>
    <row r="3" spans="2:9" ht="32.549999999999997" customHeight="1" thickBot="1" x14ac:dyDescent="0.35">
      <c r="B3" s="19" t="s">
        <v>59</v>
      </c>
      <c r="C3" s="97" t="s">
        <v>0</v>
      </c>
      <c r="D3" s="98"/>
      <c r="E3" s="97" t="s">
        <v>1</v>
      </c>
      <c r="F3" s="98"/>
      <c r="G3" s="97" t="s">
        <v>2</v>
      </c>
      <c r="H3" s="98"/>
      <c r="I3" s="19" t="s">
        <v>3</v>
      </c>
    </row>
    <row r="4" spans="2:9" ht="15" customHeight="1" thickBot="1" x14ac:dyDescent="0.35">
      <c r="B4" s="91" t="s">
        <v>4</v>
      </c>
      <c r="C4" s="65"/>
      <c r="D4" s="21">
        <v>162</v>
      </c>
      <c r="E4" s="62"/>
      <c r="F4" s="21">
        <v>141</v>
      </c>
      <c r="G4" s="23"/>
      <c r="H4" s="24">
        <v>126</v>
      </c>
      <c r="I4" s="93">
        <v>180</v>
      </c>
    </row>
    <row r="5" spans="2:9" ht="15" thickBot="1" x14ac:dyDescent="0.35">
      <c r="B5" s="92"/>
      <c r="C5" s="83">
        <f>180</f>
        <v>180</v>
      </c>
      <c r="D5" s="84"/>
      <c r="E5" s="87"/>
      <c r="F5" s="88"/>
      <c r="G5" s="99"/>
      <c r="H5" s="100"/>
      <c r="I5" s="94"/>
    </row>
    <row r="6" spans="2:9" ht="14.4" customHeight="1" thickBot="1" x14ac:dyDescent="0.35">
      <c r="B6" s="91" t="s">
        <v>5</v>
      </c>
      <c r="C6" s="66"/>
      <c r="D6" s="24">
        <v>267</v>
      </c>
      <c r="E6" s="67"/>
      <c r="F6" s="21">
        <v>258</v>
      </c>
      <c r="G6" s="63"/>
      <c r="H6" s="24">
        <v>264</v>
      </c>
      <c r="I6" s="93">
        <v>250</v>
      </c>
    </row>
    <row r="7" spans="2:9" ht="15" thickBot="1" x14ac:dyDescent="0.35">
      <c r="B7" s="92"/>
      <c r="C7" s="83">
        <f>C16-C5</f>
        <v>170</v>
      </c>
      <c r="D7" s="84"/>
      <c r="E7" s="89">
        <f>I6-C7</f>
        <v>80</v>
      </c>
      <c r="F7" s="90"/>
      <c r="G7" s="87"/>
      <c r="H7" s="88"/>
      <c r="I7" s="94"/>
    </row>
    <row r="8" spans="2:9" ht="14.4" customHeight="1" thickBot="1" x14ac:dyDescent="0.35">
      <c r="B8" s="91" t="s">
        <v>6</v>
      </c>
      <c r="C8" s="61"/>
      <c r="D8" s="24">
        <v>243</v>
      </c>
      <c r="E8" s="68"/>
      <c r="F8" s="24">
        <v>237</v>
      </c>
      <c r="G8" s="63"/>
      <c r="H8" s="24">
        <v>240</v>
      </c>
      <c r="I8" s="93">
        <v>150</v>
      </c>
    </row>
    <row r="9" spans="2:9" ht="15" thickBot="1" x14ac:dyDescent="0.35">
      <c r="B9" s="92"/>
      <c r="C9" s="95"/>
      <c r="D9" s="96"/>
      <c r="E9" s="89">
        <f>I8</f>
        <v>150</v>
      </c>
      <c r="F9" s="90"/>
      <c r="G9" s="87"/>
      <c r="H9" s="88"/>
      <c r="I9" s="94"/>
    </row>
    <row r="10" spans="2:9" ht="14.4" customHeight="1" thickBot="1" x14ac:dyDescent="0.35">
      <c r="B10" s="91" t="s">
        <v>7</v>
      </c>
      <c r="C10" s="61"/>
      <c r="D10" s="24">
        <v>261</v>
      </c>
      <c r="E10" s="68"/>
      <c r="F10" s="24">
        <v>255</v>
      </c>
      <c r="G10" s="68"/>
      <c r="H10" s="24">
        <v>252</v>
      </c>
      <c r="I10" s="93">
        <v>200</v>
      </c>
    </row>
    <row r="11" spans="2:9" ht="15" thickBot="1" x14ac:dyDescent="0.35">
      <c r="B11" s="92"/>
      <c r="C11" s="95"/>
      <c r="D11" s="96"/>
      <c r="E11" s="89">
        <f>E16-E7-E9</f>
        <v>70</v>
      </c>
      <c r="F11" s="90"/>
      <c r="G11" s="89">
        <f>I10-E11</f>
        <v>130</v>
      </c>
      <c r="H11" s="90"/>
      <c r="I11" s="94"/>
    </row>
    <row r="12" spans="2:9" ht="14.4" customHeight="1" thickBot="1" x14ac:dyDescent="0.35">
      <c r="B12" s="91" t="s">
        <v>8</v>
      </c>
      <c r="C12" s="25"/>
      <c r="D12" s="24">
        <v>471</v>
      </c>
      <c r="E12" s="63"/>
      <c r="F12" s="24">
        <v>468</v>
      </c>
      <c r="G12" s="69"/>
      <c r="H12" s="24">
        <v>474</v>
      </c>
      <c r="I12" s="93">
        <v>140</v>
      </c>
    </row>
    <row r="13" spans="2:9" ht="15" thickBot="1" x14ac:dyDescent="0.35">
      <c r="B13" s="92"/>
      <c r="C13" s="95"/>
      <c r="D13" s="96"/>
      <c r="E13" s="87"/>
      <c r="F13" s="88"/>
      <c r="G13" s="89">
        <f>I12</f>
        <v>140</v>
      </c>
      <c r="H13" s="90"/>
      <c r="I13" s="94"/>
    </row>
    <row r="14" spans="2:9" ht="14.4" customHeight="1" thickBot="1" x14ac:dyDescent="0.35">
      <c r="B14" s="91" t="s">
        <v>10</v>
      </c>
      <c r="C14" s="64"/>
      <c r="D14" s="21">
        <v>84</v>
      </c>
      <c r="E14" s="28"/>
      <c r="F14" s="24">
        <v>78</v>
      </c>
      <c r="G14" s="70"/>
      <c r="H14" s="24">
        <v>81</v>
      </c>
      <c r="I14" s="93">
        <v>80</v>
      </c>
    </row>
    <row r="15" spans="2:9" ht="15" thickBot="1" x14ac:dyDescent="0.35">
      <c r="B15" s="92"/>
      <c r="C15" s="95"/>
      <c r="D15" s="96"/>
      <c r="E15" s="81"/>
      <c r="F15" s="82"/>
      <c r="G15" s="83">
        <f>G16-G11-G13</f>
        <v>80</v>
      </c>
      <c r="H15" s="84"/>
      <c r="I15" s="94"/>
    </row>
    <row r="16" spans="2:9" ht="15" thickBot="1" x14ac:dyDescent="0.35">
      <c r="B16" s="31" t="s">
        <v>12</v>
      </c>
      <c r="C16" s="85">
        <v>350</v>
      </c>
      <c r="D16" s="86"/>
      <c r="E16" s="85">
        <v>300</v>
      </c>
      <c r="F16" s="86"/>
      <c r="G16" s="85">
        <v>350</v>
      </c>
      <c r="H16" s="86"/>
      <c r="I16" s="32">
        <f>SUM(I4:I15)</f>
        <v>1000</v>
      </c>
    </row>
    <row r="18" spans="2:3" ht="14.55" customHeight="1" thickBot="1" x14ac:dyDescent="0.35"/>
    <row r="19" spans="2:3" ht="16.2" thickBot="1" x14ac:dyDescent="0.35">
      <c r="B19" s="71" t="s">
        <v>59</v>
      </c>
      <c r="C19" s="76" t="s">
        <v>58</v>
      </c>
    </row>
    <row r="20" spans="2:3" ht="14.55" customHeight="1" x14ac:dyDescent="0.3">
      <c r="B20" s="101" t="s">
        <v>4</v>
      </c>
      <c r="C20" s="103">
        <f>C5*D4</f>
        <v>29160</v>
      </c>
    </row>
    <row r="21" spans="2:3" ht="15" thickBot="1" x14ac:dyDescent="0.35">
      <c r="B21" s="102"/>
      <c r="C21" s="104"/>
    </row>
    <row r="22" spans="2:3" ht="14.55" customHeight="1" x14ac:dyDescent="0.3">
      <c r="B22" s="101" t="s">
        <v>5</v>
      </c>
      <c r="C22" s="103">
        <f>C7*D6+E7*F6</f>
        <v>66030</v>
      </c>
    </row>
    <row r="23" spans="2:3" ht="15" thickBot="1" x14ac:dyDescent="0.35">
      <c r="B23" s="102"/>
      <c r="C23" s="104"/>
    </row>
    <row r="24" spans="2:3" ht="14.55" customHeight="1" x14ac:dyDescent="0.3">
      <c r="B24" s="101" t="s">
        <v>6</v>
      </c>
      <c r="C24" s="103">
        <f>E9*F8</f>
        <v>35550</v>
      </c>
    </row>
    <row r="25" spans="2:3" ht="15" thickBot="1" x14ac:dyDescent="0.35">
      <c r="B25" s="102"/>
      <c r="C25" s="104"/>
    </row>
    <row r="26" spans="2:3" ht="28.2" thickBot="1" x14ac:dyDescent="0.35">
      <c r="B26" s="72" t="s">
        <v>7</v>
      </c>
      <c r="C26" s="73">
        <f>E11*F10+G11*H10</f>
        <v>50610</v>
      </c>
    </row>
    <row r="27" spans="2:3" ht="14.55" customHeight="1" x14ac:dyDescent="0.3">
      <c r="B27" s="101" t="s">
        <v>8</v>
      </c>
      <c r="C27" s="103">
        <f>G13*H12</f>
        <v>66360</v>
      </c>
    </row>
    <row r="28" spans="2:3" ht="15" thickBot="1" x14ac:dyDescent="0.35">
      <c r="B28" s="102"/>
      <c r="C28" s="104"/>
    </row>
    <row r="29" spans="2:3" ht="28.2" thickBot="1" x14ac:dyDescent="0.35">
      <c r="B29" s="72" t="s">
        <v>10</v>
      </c>
      <c r="C29" s="73">
        <f>G15*H14</f>
        <v>6480</v>
      </c>
    </row>
    <row r="30" spans="2:3" ht="29.4" thickBot="1" x14ac:dyDescent="0.35">
      <c r="B30" s="74" t="s">
        <v>60</v>
      </c>
      <c r="C30" s="75">
        <f>SUM(C20:C29)</f>
        <v>254190</v>
      </c>
    </row>
  </sheetData>
  <mergeCells count="44">
    <mergeCell ref="B22:B23"/>
    <mergeCell ref="B24:B25"/>
    <mergeCell ref="B27:B28"/>
    <mergeCell ref="C20:C21"/>
    <mergeCell ref="C22:C23"/>
    <mergeCell ref="C24:C25"/>
    <mergeCell ref="C27:C28"/>
    <mergeCell ref="B20:B21"/>
    <mergeCell ref="C3:D3"/>
    <mergeCell ref="E3:F3"/>
    <mergeCell ref="G3:H3"/>
    <mergeCell ref="B4:B5"/>
    <mergeCell ref="I4:I5"/>
    <mergeCell ref="C5:D5"/>
    <mergeCell ref="E5:F5"/>
    <mergeCell ref="G5:H5"/>
    <mergeCell ref="B14:B15"/>
    <mergeCell ref="I14:I15"/>
    <mergeCell ref="C15:D15"/>
    <mergeCell ref="B6:B7"/>
    <mergeCell ref="I6:I7"/>
    <mergeCell ref="C7:D7"/>
    <mergeCell ref="E7:F7"/>
    <mergeCell ref="G7:H7"/>
    <mergeCell ref="B8:B9"/>
    <mergeCell ref="I8:I9"/>
    <mergeCell ref="C9:D9"/>
    <mergeCell ref="E9:F9"/>
    <mergeCell ref="G9:H9"/>
    <mergeCell ref="B12:B13"/>
    <mergeCell ref="I12:I13"/>
    <mergeCell ref="C13:D13"/>
    <mergeCell ref="E13:F13"/>
    <mergeCell ref="G13:H13"/>
    <mergeCell ref="B10:B11"/>
    <mergeCell ref="I10:I11"/>
    <mergeCell ref="C11:D11"/>
    <mergeCell ref="E11:F11"/>
    <mergeCell ref="G11:H11"/>
    <mergeCell ref="E15:F15"/>
    <mergeCell ref="G15:H15"/>
    <mergeCell ref="C16:D16"/>
    <mergeCell ref="E16:F16"/>
    <mergeCell ref="G16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2598-6A0F-40F2-89FE-F869960CAE55}">
  <dimension ref="B1:I18"/>
  <sheetViews>
    <sheetView zoomScale="80" zoomScaleNormal="80" workbookViewId="0">
      <selection activeCell="F29" sqref="F29"/>
    </sheetView>
  </sheetViews>
  <sheetFormatPr defaultRowHeight="14.4" x14ac:dyDescent="0.3"/>
  <cols>
    <col min="2" max="2" width="22.77734375" customWidth="1"/>
    <col min="3" max="3" width="15.77734375" customWidth="1"/>
    <col min="4" max="4" width="4.44140625" customWidth="1"/>
    <col min="5" max="5" width="15" customWidth="1"/>
    <col min="6" max="6" width="4.21875" bestFit="1" customWidth="1"/>
    <col min="7" max="7" width="15.21875" customWidth="1"/>
    <col min="8" max="8" width="4.21875" bestFit="1" customWidth="1"/>
  </cols>
  <sheetData>
    <row r="1" spans="2:9" ht="25.95" customHeight="1" thickBot="1" x14ac:dyDescent="0.35"/>
    <row r="2" spans="2:9" ht="29.55" customHeight="1" thickBot="1" x14ac:dyDescent="0.35">
      <c r="B2" s="18"/>
      <c r="C2" s="111" t="s">
        <v>0</v>
      </c>
      <c r="D2" s="112"/>
      <c r="E2" s="111" t="s">
        <v>1</v>
      </c>
      <c r="F2" s="112"/>
      <c r="G2" s="111" t="s">
        <v>2</v>
      </c>
      <c r="H2" s="112"/>
      <c r="I2" s="19" t="s">
        <v>3</v>
      </c>
    </row>
    <row r="3" spans="2:9" ht="15" thickBot="1" x14ac:dyDescent="0.35">
      <c r="B3" s="91" t="s">
        <v>4</v>
      </c>
      <c r="C3" s="20"/>
      <c r="D3" s="21">
        <v>162</v>
      </c>
      <c r="E3" s="22"/>
      <c r="F3" s="21">
        <v>141</v>
      </c>
      <c r="G3" s="23">
        <v>2</v>
      </c>
      <c r="H3" s="24">
        <v>126</v>
      </c>
      <c r="I3" s="93">
        <v>180</v>
      </c>
    </row>
    <row r="4" spans="2:9" ht="15" thickBot="1" x14ac:dyDescent="0.35">
      <c r="B4" s="92"/>
      <c r="C4" s="105"/>
      <c r="D4" s="106"/>
      <c r="E4" s="107"/>
      <c r="F4" s="108"/>
      <c r="G4" s="99">
        <v>180</v>
      </c>
      <c r="H4" s="109"/>
      <c r="I4" s="94"/>
    </row>
    <row r="5" spans="2:9" ht="15" thickBot="1" x14ac:dyDescent="0.35">
      <c r="B5" s="91" t="s">
        <v>5</v>
      </c>
      <c r="C5" s="25">
        <v>7</v>
      </c>
      <c r="D5" s="24">
        <v>267</v>
      </c>
      <c r="E5" s="26">
        <v>6</v>
      </c>
      <c r="F5" s="21">
        <v>258</v>
      </c>
      <c r="G5" s="27"/>
      <c r="H5" s="24">
        <v>264</v>
      </c>
      <c r="I5" s="93">
        <v>250</v>
      </c>
    </row>
    <row r="6" spans="2:9" ht="15" thickBot="1" x14ac:dyDescent="0.35">
      <c r="B6" s="92"/>
      <c r="C6" s="81">
        <v>210</v>
      </c>
      <c r="D6" s="82"/>
      <c r="E6" s="99">
        <v>40</v>
      </c>
      <c r="F6" s="100"/>
      <c r="G6" s="107"/>
      <c r="H6" s="108"/>
      <c r="I6" s="94"/>
    </row>
    <row r="7" spans="2:9" ht="15" thickBot="1" x14ac:dyDescent="0.35">
      <c r="B7" s="91" t="s">
        <v>6</v>
      </c>
      <c r="C7" s="20"/>
      <c r="D7" s="24">
        <v>243</v>
      </c>
      <c r="E7" s="28">
        <v>3</v>
      </c>
      <c r="F7" s="24">
        <v>237</v>
      </c>
      <c r="G7" s="27"/>
      <c r="H7" s="24">
        <v>240</v>
      </c>
      <c r="I7" s="93">
        <v>150</v>
      </c>
    </row>
    <row r="8" spans="2:9" ht="15" thickBot="1" x14ac:dyDescent="0.35">
      <c r="B8" s="92"/>
      <c r="C8" s="105"/>
      <c r="D8" s="106"/>
      <c r="E8" s="99">
        <v>150</v>
      </c>
      <c r="F8" s="109"/>
      <c r="G8" s="107"/>
      <c r="H8" s="108"/>
      <c r="I8" s="94"/>
    </row>
    <row r="9" spans="2:9" ht="15" thickBot="1" x14ac:dyDescent="0.35">
      <c r="B9" s="91" t="s">
        <v>7</v>
      </c>
      <c r="C9" s="20"/>
      <c r="D9" s="24">
        <v>261</v>
      </c>
      <c r="E9" s="28">
        <v>5</v>
      </c>
      <c r="F9" s="24">
        <v>255</v>
      </c>
      <c r="G9" s="28">
        <v>4</v>
      </c>
      <c r="H9" s="24">
        <v>252</v>
      </c>
      <c r="I9" s="93">
        <v>200</v>
      </c>
    </row>
    <row r="10" spans="2:9" ht="15" thickBot="1" x14ac:dyDescent="0.35">
      <c r="B10" s="92"/>
      <c r="C10" s="105"/>
      <c r="D10" s="106"/>
      <c r="E10" s="99">
        <v>30</v>
      </c>
      <c r="F10" s="109"/>
      <c r="G10" s="99">
        <v>170</v>
      </c>
      <c r="H10" s="109"/>
      <c r="I10" s="94"/>
    </row>
    <row r="11" spans="2:9" ht="15" thickBot="1" x14ac:dyDescent="0.35">
      <c r="B11" s="91" t="s">
        <v>8</v>
      </c>
      <c r="C11" s="25" t="s">
        <v>9</v>
      </c>
      <c r="D11" s="24">
        <v>471</v>
      </c>
      <c r="E11" s="27"/>
      <c r="F11" s="24">
        <v>468</v>
      </c>
      <c r="G11" s="27"/>
      <c r="H11" s="24">
        <v>474</v>
      </c>
      <c r="I11" s="93">
        <v>140</v>
      </c>
    </row>
    <row r="12" spans="2:9" ht="15" thickBot="1" x14ac:dyDescent="0.35">
      <c r="B12" s="92"/>
      <c r="C12" s="95">
        <v>140</v>
      </c>
      <c r="D12" s="96"/>
      <c r="E12" s="107"/>
      <c r="F12" s="108"/>
      <c r="G12" s="107"/>
      <c r="H12" s="108"/>
      <c r="I12" s="94"/>
    </row>
    <row r="13" spans="2:9" ht="15" thickBot="1" x14ac:dyDescent="0.35">
      <c r="B13" s="91" t="s">
        <v>10</v>
      </c>
      <c r="C13" s="29"/>
      <c r="D13" s="21">
        <v>84</v>
      </c>
      <c r="E13" s="28" t="s">
        <v>11</v>
      </c>
      <c r="F13" s="24">
        <v>78</v>
      </c>
      <c r="G13" s="30"/>
      <c r="H13" s="24">
        <v>81</v>
      </c>
      <c r="I13" s="93">
        <v>80</v>
      </c>
    </row>
    <row r="14" spans="2:9" ht="15" thickBot="1" x14ac:dyDescent="0.35">
      <c r="B14" s="92"/>
      <c r="C14" s="110"/>
      <c r="D14" s="106"/>
      <c r="E14" s="81">
        <v>80</v>
      </c>
      <c r="F14" s="82"/>
      <c r="G14" s="105"/>
      <c r="H14" s="106"/>
      <c r="I14" s="94"/>
    </row>
    <row r="15" spans="2:9" ht="15" thickBot="1" x14ac:dyDescent="0.35">
      <c r="B15" s="31" t="s">
        <v>12</v>
      </c>
      <c r="C15" s="85">
        <v>350</v>
      </c>
      <c r="D15" s="86"/>
      <c r="E15" s="85">
        <v>300</v>
      </c>
      <c r="F15" s="86"/>
      <c r="G15" s="85">
        <v>350</v>
      </c>
      <c r="H15" s="86"/>
      <c r="I15" s="32">
        <f>SUM(I3:I14)</f>
        <v>1000</v>
      </c>
    </row>
    <row r="18" spans="2:3" x14ac:dyDescent="0.3">
      <c r="B18" t="s">
        <v>13</v>
      </c>
      <c r="C18" s="1">
        <f>(126*180)+(267*210)+(258*40)+(237*150)+(255*30)+(252*170)+(471*140)+(78*80)</f>
        <v>247290</v>
      </c>
    </row>
  </sheetData>
  <mergeCells count="36">
    <mergeCell ref="C2:D2"/>
    <mergeCell ref="E2:F2"/>
    <mergeCell ref="G2:H2"/>
    <mergeCell ref="B3:B4"/>
    <mergeCell ref="I3:I4"/>
    <mergeCell ref="C4:D4"/>
    <mergeCell ref="E4:F4"/>
    <mergeCell ref="G4:H4"/>
    <mergeCell ref="B13:B14"/>
    <mergeCell ref="I13:I14"/>
    <mergeCell ref="C14:D14"/>
    <mergeCell ref="B5:B6"/>
    <mergeCell ref="I5:I6"/>
    <mergeCell ref="C6:D6"/>
    <mergeCell ref="E6:F6"/>
    <mergeCell ref="G6:H6"/>
    <mergeCell ref="B7:B8"/>
    <mergeCell ref="I7:I8"/>
    <mergeCell ref="C8:D8"/>
    <mergeCell ref="E8:F8"/>
    <mergeCell ref="G8:H8"/>
    <mergeCell ref="B11:B12"/>
    <mergeCell ref="I11:I12"/>
    <mergeCell ref="C12:D12"/>
    <mergeCell ref="E12:F12"/>
    <mergeCell ref="G12:H12"/>
    <mergeCell ref="B9:B10"/>
    <mergeCell ref="I9:I10"/>
    <mergeCell ref="C10:D10"/>
    <mergeCell ref="E10:F10"/>
    <mergeCell ref="G10:H10"/>
    <mergeCell ref="E14:F14"/>
    <mergeCell ref="G14:H14"/>
    <mergeCell ref="C15:D15"/>
    <mergeCell ref="E15:F15"/>
    <mergeCell ref="G15:H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BF5B-6F4B-43E7-B79E-97AC588895DC}">
  <dimension ref="A1:P133"/>
  <sheetViews>
    <sheetView topLeftCell="G1" workbookViewId="0">
      <selection activeCell="M25" sqref="M25"/>
    </sheetView>
  </sheetViews>
  <sheetFormatPr defaultColWidth="9.21875" defaultRowHeight="14.4" x14ac:dyDescent="0.3"/>
  <cols>
    <col min="4" max="4" width="4.21875" customWidth="1"/>
    <col min="5" max="5" width="3.44140625" customWidth="1"/>
    <col min="9" max="9" width="7.21875" customWidth="1"/>
    <col min="11" max="11" width="11.77734375" customWidth="1"/>
    <col min="13" max="13" width="17.44140625" customWidth="1"/>
  </cols>
  <sheetData>
    <row r="1" spans="1:16" x14ac:dyDescent="0.3">
      <c r="A1" s="33"/>
      <c r="B1" s="33"/>
      <c r="C1" s="33"/>
      <c r="D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33"/>
      <c r="B2" s="129" t="s">
        <v>14</v>
      </c>
      <c r="C2" s="182"/>
      <c r="D2" s="161" t="s">
        <v>15</v>
      </c>
      <c r="E2" s="161"/>
      <c r="F2" s="161"/>
      <c r="G2" s="161"/>
      <c r="H2" s="161"/>
      <c r="I2" s="161"/>
      <c r="J2" s="185"/>
      <c r="K2" s="165" t="s">
        <v>3</v>
      </c>
      <c r="L2" s="33"/>
      <c r="M2" s="158" t="s">
        <v>16</v>
      </c>
      <c r="N2" s="33"/>
      <c r="O2" s="33"/>
      <c r="P2" s="33"/>
    </row>
    <row r="3" spans="1:16" x14ac:dyDescent="0.3">
      <c r="A3" s="33"/>
      <c r="B3" s="183"/>
      <c r="C3" s="184"/>
      <c r="D3" s="115" t="s">
        <v>0</v>
      </c>
      <c r="E3" s="115"/>
      <c r="F3" s="116"/>
      <c r="G3" s="115" t="s">
        <v>17</v>
      </c>
      <c r="H3" s="160"/>
      <c r="I3" s="115" t="s">
        <v>2</v>
      </c>
      <c r="J3" s="160"/>
      <c r="K3" s="166"/>
      <c r="L3" s="33"/>
      <c r="M3" s="159"/>
      <c r="N3" s="33"/>
      <c r="O3" s="33"/>
      <c r="P3" s="33"/>
    </row>
    <row r="4" spans="1:16" x14ac:dyDescent="0.3">
      <c r="A4" s="33"/>
      <c r="B4" s="113" t="s">
        <v>18</v>
      </c>
      <c r="C4" s="114"/>
      <c r="D4" s="115">
        <v>162</v>
      </c>
      <c r="E4" s="115"/>
      <c r="F4" s="116"/>
      <c r="G4" s="115">
        <v>141</v>
      </c>
      <c r="H4" s="116"/>
      <c r="I4" s="115">
        <v>126</v>
      </c>
      <c r="J4" s="116"/>
      <c r="K4" s="39">
        <v>180</v>
      </c>
      <c r="L4" s="33"/>
      <c r="M4" s="57" t="s">
        <v>19</v>
      </c>
      <c r="N4" s="33"/>
      <c r="O4" s="33"/>
      <c r="P4" s="33"/>
    </row>
    <row r="5" spans="1:16" x14ac:dyDescent="0.3">
      <c r="A5" s="33"/>
      <c r="B5" s="113" t="s">
        <v>20</v>
      </c>
      <c r="C5" s="114"/>
      <c r="D5" s="115">
        <v>267</v>
      </c>
      <c r="E5" s="115"/>
      <c r="F5" s="116"/>
      <c r="G5" s="115">
        <v>258</v>
      </c>
      <c r="H5" s="116"/>
      <c r="I5" s="115">
        <v>264</v>
      </c>
      <c r="J5" s="116"/>
      <c r="K5" s="39">
        <v>250</v>
      </c>
      <c r="L5" s="33"/>
      <c r="M5" s="57" t="s">
        <v>21</v>
      </c>
      <c r="N5" s="33"/>
      <c r="O5" s="33"/>
      <c r="P5" s="33"/>
    </row>
    <row r="6" spans="1:16" x14ac:dyDescent="0.3">
      <c r="A6" s="33"/>
      <c r="B6" s="113" t="s">
        <v>22</v>
      </c>
      <c r="C6" s="114"/>
      <c r="D6" s="115">
        <v>243</v>
      </c>
      <c r="E6" s="115"/>
      <c r="F6" s="116"/>
      <c r="G6" s="115">
        <v>237</v>
      </c>
      <c r="H6" s="116"/>
      <c r="I6" s="115">
        <v>240</v>
      </c>
      <c r="J6" s="116"/>
      <c r="K6" s="39">
        <v>150</v>
      </c>
      <c r="L6" s="33"/>
      <c r="M6" s="57" t="s">
        <v>23</v>
      </c>
      <c r="N6" s="33"/>
      <c r="O6" s="33"/>
      <c r="P6" s="33"/>
    </row>
    <row r="7" spans="1:16" x14ac:dyDescent="0.3">
      <c r="A7" s="33"/>
      <c r="B7" s="113" t="s">
        <v>24</v>
      </c>
      <c r="C7" s="114"/>
      <c r="D7" s="115">
        <v>261</v>
      </c>
      <c r="E7" s="115"/>
      <c r="F7" s="116"/>
      <c r="G7" s="115">
        <v>255</v>
      </c>
      <c r="H7" s="116"/>
      <c r="I7" s="115">
        <v>252</v>
      </c>
      <c r="J7" s="116"/>
      <c r="K7" s="39">
        <v>200</v>
      </c>
      <c r="L7" s="33"/>
      <c r="M7" s="57" t="s">
        <v>25</v>
      </c>
      <c r="N7" s="33"/>
      <c r="O7" s="33"/>
      <c r="P7" s="33"/>
    </row>
    <row r="8" spans="1:16" x14ac:dyDescent="0.3">
      <c r="A8" s="33"/>
      <c r="B8" s="113" t="s">
        <v>26</v>
      </c>
      <c r="C8" s="114"/>
      <c r="D8" s="115">
        <v>471</v>
      </c>
      <c r="E8" s="115"/>
      <c r="F8" s="116"/>
      <c r="G8" s="115">
        <v>468</v>
      </c>
      <c r="H8" s="116"/>
      <c r="I8" s="115">
        <v>474</v>
      </c>
      <c r="J8" s="116"/>
      <c r="K8" s="39">
        <v>140</v>
      </c>
      <c r="L8" s="33"/>
      <c r="M8" s="57" t="s">
        <v>27</v>
      </c>
      <c r="N8" s="33"/>
      <c r="O8" s="33"/>
      <c r="P8" s="33"/>
    </row>
    <row r="9" spans="1:16" x14ac:dyDescent="0.3">
      <c r="A9" s="33"/>
      <c r="B9" s="34" t="s">
        <v>28</v>
      </c>
      <c r="C9" s="35" t="s">
        <v>29</v>
      </c>
      <c r="D9" s="115">
        <v>84</v>
      </c>
      <c r="E9" s="115"/>
      <c r="F9" s="116"/>
      <c r="G9" s="115">
        <v>78</v>
      </c>
      <c r="H9" s="116"/>
      <c r="I9" s="115">
        <v>81</v>
      </c>
      <c r="J9" s="116"/>
      <c r="K9" s="39">
        <v>80</v>
      </c>
      <c r="L9" s="33"/>
      <c r="M9" s="58" t="s">
        <v>30</v>
      </c>
      <c r="N9" s="33"/>
      <c r="O9" s="59"/>
      <c r="P9" s="33"/>
    </row>
    <row r="10" spans="1:16" x14ac:dyDescent="0.3">
      <c r="A10" s="33"/>
      <c r="B10" s="123" t="s">
        <v>12</v>
      </c>
      <c r="C10" s="124"/>
      <c r="D10" s="115">
        <v>350</v>
      </c>
      <c r="E10" s="115"/>
      <c r="F10" s="116"/>
      <c r="G10" s="115">
        <v>300</v>
      </c>
      <c r="H10" s="116"/>
      <c r="I10" s="115">
        <v>350</v>
      </c>
      <c r="J10" s="116"/>
      <c r="K10" s="40" t="s">
        <v>29</v>
      </c>
      <c r="L10" s="33"/>
      <c r="M10" s="33"/>
      <c r="N10" s="33"/>
      <c r="O10" s="33"/>
      <c r="P10" s="33"/>
    </row>
    <row r="11" spans="1:16" x14ac:dyDescent="0.3">
      <c r="A11" s="33"/>
      <c r="B11" s="36"/>
      <c r="C11" s="36"/>
      <c r="D11" s="36"/>
      <c r="F11" s="36"/>
      <c r="G11" s="36"/>
      <c r="H11" s="36"/>
      <c r="I11" s="36"/>
      <c r="J11" s="36"/>
      <c r="K11" s="36"/>
      <c r="L11" s="33"/>
      <c r="M11" s="33"/>
      <c r="N11" s="33"/>
      <c r="O11" s="33"/>
      <c r="P11" s="33"/>
    </row>
    <row r="12" spans="1:16" x14ac:dyDescent="0.3">
      <c r="A12" s="33"/>
      <c r="B12" s="127" t="s">
        <v>31</v>
      </c>
      <c r="C12" s="128"/>
      <c r="D12" s="136" t="s">
        <v>32</v>
      </c>
      <c r="E12" s="136"/>
      <c r="F12" s="137"/>
      <c r="G12" s="121" t="s">
        <v>33</v>
      </c>
      <c r="H12" s="128"/>
      <c r="I12" s="121" t="s">
        <v>34</v>
      </c>
      <c r="J12" s="122"/>
      <c r="K12" s="33"/>
      <c r="L12" s="33"/>
      <c r="M12" s="33"/>
      <c r="N12" s="33"/>
      <c r="O12" s="33"/>
      <c r="P12" s="33"/>
    </row>
    <row r="13" spans="1:16" x14ac:dyDescent="0.3">
      <c r="A13" s="33"/>
      <c r="B13" s="33"/>
      <c r="C13" s="33"/>
      <c r="D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 x14ac:dyDescent="0.3">
      <c r="A14" s="33"/>
      <c r="B14" s="33"/>
      <c r="C14" s="33"/>
      <c r="D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 x14ac:dyDescent="0.3">
      <c r="A15" s="33"/>
      <c r="B15" s="129" t="s">
        <v>14</v>
      </c>
      <c r="C15" s="130"/>
      <c r="D15" s="115" t="s">
        <v>15</v>
      </c>
      <c r="E15" s="115"/>
      <c r="F15" s="115"/>
      <c r="G15" s="115"/>
      <c r="H15" s="115"/>
      <c r="I15" s="115"/>
      <c r="J15" s="116"/>
      <c r="K15" s="165" t="s">
        <v>3</v>
      </c>
      <c r="L15" s="33"/>
      <c r="M15" s="158" t="s">
        <v>16</v>
      </c>
      <c r="N15" s="33"/>
      <c r="O15" s="33"/>
      <c r="P15" s="33"/>
    </row>
    <row r="16" spans="1:16" x14ac:dyDescent="0.3">
      <c r="A16" s="33"/>
      <c r="B16" s="131"/>
      <c r="C16" s="132"/>
      <c r="D16" s="115" t="s">
        <v>0</v>
      </c>
      <c r="E16" s="115"/>
      <c r="F16" s="116"/>
      <c r="G16" s="115" t="s">
        <v>17</v>
      </c>
      <c r="H16" s="116"/>
      <c r="I16" s="115" t="s">
        <v>2</v>
      </c>
      <c r="J16" s="116"/>
      <c r="K16" s="166"/>
      <c r="L16" s="33"/>
      <c r="M16" s="159"/>
      <c r="N16" s="33"/>
      <c r="O16" s="33"/>
      <c r="P16" s="33"/>
    </row>
    <row r="17" spans="1:16" x14ac:dyDescent="0.3">
      <c r="A17" s="33"/>
      <c r="B17" s="34" t="s">
        <v>18</v>
      </c>
      <c r="C17" s="35" t="s">
        <v>29</v>
      </c>
      <c r="D17" s="115">
        <v>162</v>
      </c>
      <c r="E17" s="115"/>
      <c r="F17" s="116"/>
      <c r="G17" s="115">
        <v>141</v>
      </c>
      <c r="H17" s="116"/>
      <c r="I17" s="115">
        <v>126</v>
      </c>
      <c r="J17" s="116"/>
      <c r="K17" s="39">
        <v>180</v>
      </c>
      <c r="L17" s="33"/>
      <c r="M17" s="57" t="s">
        <v>19</v>
      </c>
      <c r="N17" s="33"/>
      <c r="O17" s="33"/>
      <c r="P17" s="33"/>
    </row>
    <row r="18" spans="1:16" x14ac:dyDescent="0.3">
      <c r="A18" s="33"/>
      <c r="B18" s="113" t="s">
        <v>20</v>
      </c>
      <c r="C18" s="114"/>
      <c r="D18" s="115">
        <v>267</v>
      </c>
      <c r="E18" s="115"/>
      <c r="F18" s="116"/>
      <c r="G18" s="115">
        <v>258</v>
      </c>
      <c r="H18" s="116"/>
      <c r="I18" s="115">
        <v>264</v>
      </c>
      <c r="J18" s="116"/>
      <c r="K18" s="39">
        <v>250</v>
      </c>
      <c r="L18" s="33"/>
      <c r="M18" s="57" t="s">
        <v>21</v>
      </c>
      <c r="N18" s="33"/>
      <c r="O18" s="33"/>
      <c r="P18" s="33"/>
    </row>
    <row r="19" spans="1:16" x14ac:dyDescent="0.3">
      <c r="A19" s="33"/>
      <c r="B19" s="113" t="s">
        <v>22</v>
      </c>
      <c r="C19" s="114"/>
      <c r="D19" s="115">
        <v>243</v>
      </c>
      <c r="E19" s="115"/>
      <c r="F19" s="116"/>
      <c r="G19" s="115">
        <v>237</v>
      </c>
      <c r="H19" s="116"/>
      <c r="I19" s="115">
        <v>240</v>
      </c>
      <c r="J19" s="116"/>
      <c r="K19" s="39">
        <v>150</v>
      </c>
      <c r="L19" s="33"/>
      <c r="M19" s="57" t="s">
        <v>23</v>
      </c>
      <c r="N19" s="33"/>
      <c r="O19" s="33"/>
      <c r="P19" s="33"/>
    </row>
    <row r="20" spans="1:16" x14ac:dyDescent="0.3">
      <c r="A20" s="33"/>
      <c r="B20" s="113" t="s">
        <v>24</v>
      </c>
      <c r="C20" s="114"/>
      <c r="D20" s="115">
        <v>261</v>
      </c>
      <c r="E20" s="115"/>
      <c r="F20" s="116"/>
      <c r="G20" s="115">
        <v>255</v>
      </c>
      <c r="H20" s="116"/>
      <c r="I20" s="115">
        <v>252</v>
      </c>
      <c r="J20" s="116"/>
      <c r="K20" s="39">
        <v>200</v>
      </c>
      <c r="L20" s="33"/>
      <c r="M20" s="57" t="s">
        <v>25</v>
      </c>
      <c r="N20" s="33"/>
      <c r="O20" s="33"/>
      <c r="P20" s="33"/>
    </row>
    <row r="21" spans="1:16" x14ac:dyDescent="0.3">
      <c r="A21" s="33"/>
      <c r="B21" s="113" t="s">
        <v>26</v>
      </c>
      <c r="C21" s="114"/>
      <c r="D21" s="161">
        <v>471</v>
      </c>
      <c r="E21" s="161"/>
      <c r="F21" s="162"/>
      <c r="G21" s="115">
        <v>468</v>
      </c>
      <c r="H21" s="116"/>
      <c r="I21" s="115">
        <v>474</v>
      </c>
      <c r="J21" s="116"/>
      <c r="K21" s="39">
        <v>140</v>
      </c>
      <c r="L21" s="33"/>
      <c r="M21" s="58" t="s">
        <v>27</v>
      </c>
      <c r="N21" s="33"/>
      <c r="O21" s="33"/>
      <c r="P21" s="33"/>
    </row>
    <row r="22" spans="1:16" x14ac:dyDescent="0.3">
      <c r="A22" s="33"/>
      <c r="B22" s="140" t="s">
        <v>28</v>
      </c>
      <c r="C22" s="141"/>
      <c r="D22" s="146">
        <v>84</v>
      </c>
      <c r="E22" s="146"/>
      <c r="F22" s="174"/>
      <c r="G22" s="146">
        <v>78</v>
      </c>
      <c r="H22" s="174"/>
      <c r="I22" s="145">
        <v>81</v>
      </c>
      <c r="J22" s="147"/>
      <c r="K22" s="163">
        <v>0</v>
      </c>
      <c r="L22" s="33"/>
      <c r="M22" s="33"/>
      <c r="N22" s="33"/>
      <c r="O22" s="33"/>
      <c r="P22" s="33"/>
    </row>
    <row r="23" spans="1:16" x14ac:dyDescent="0.3">
      <c r="A23" s="33"/>
      <c r="B23" s="142"/>
      <c r="C23" s="143"/>
      <c r="D23" s="41">
        <v>80</v>
      </c>
      <c r="E23" s="42"/>
      <c r="F23" s="43" t="s">
        <v>29</v>
      </c>
      <c r="G23" s="186"/>
      <c r="H23" s="187"/>
      <c r="I23" s="148"/>
      <c r="J23" s="150"/>
      <c r="K23" s="164"/>
      <c r="L23" s="33"/>
      <c r="M23" s="33"/>
      <c r="N23" s="33"/>
      <c r="O23" s="33"/>
      <c r="P23" s="33"/>
    </row>
    <row r="24" spans="1:16" x14ac:dyDescent="0.3">
      <c r="A24" s="33"/>
      <c r="B24" s="123" t="s">
        <v>12</v>
      </c>
      <c r="C24" s="124"/>
      <c r="D24" s="133">
        <v>270</v>
      </c>
      <c r="E24" s="133"/>
      <c r="F24" s="134"/>
      <c r="G24" s="115">
        <v>300</v>
      </c>
      <c r="H24" s="116"/>
      <c r="I24" s="115">
        <v>350</v>
      </c>
      <c r="J24" s="116"/>
      <c r="K24" s="40" t="s">
        <v>29</v>
      </c>
      <c r="L24" s="33"/>
      <c r="M24" s="33"/>
      <c r="N24" s="33"/>
      <c r="O24" s="33"/>
      <c r="P24" s="33"/>
    </row>
    <row r="25" spans="1:16" x14ac:dyDescent="0.3">
      <c r="A25" s="33"/>
      <c r="B25" s="33"/>
      <c r="C25" s="33"/>
      <c r="D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</row>
    <row r="26" spans="1:16" x14ac:dyDescent="0.3">
      <c r="A26" s="33"/>
      <c r="B26" s="127" t="s">
        <v>31</v>
      </c>
      <c r="C26" s="128"/>
      <c r="D26" s="121" t="s">
        <v>35</v>
      </c>
      <c r="E26" s="121"/>
      <c r="F26" s="128"/>
      <c r="G26" s="121" t="s">
        <v>36</v>
      </c>
      <c r="H26" s="128"/>
      <c r="I26" s="37" t="s">
        <v>29</v>
      </c>
      <c r="J26" s="38" t="s">
        <v>37</v>
      </c>
      <c r="K26" s="33"/>
      <c r="L26" s="33"/>
      <c r="M26" s="33"/>
      <c r="N26" s="33"/>
      <c r="O26" s="33"/>
      <c r="P26" s="33"/>
    </row>
    <row r="27" spans="1:16" x14ac:dyDescent="0.3">
      <c r="A27" s="33"/>
      <c r="B27" s="33"/>
      <c r="C27" s="33"/>
      <c r="D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6" x14ac:dyDescent="0.3">
      <c r="A28" s="33"/>
      <c r="B28" s="33"/>
      <c r="C28" s="33"/>
      <c r="D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1:16" x14ac:dyDescent="0.3">
      <c r="A29" s="33"/>
      <c r="B29" s="129" t="s">
        <v>14</v>
      </c>
      <c r="C29" s="130"/>
      <c r="D29" s="115" t="s">
        <v>15</v>
      </c>
      <c r="E29" s="115"/>
      <c r="F29" s="115"/>
      <c r="G29" s="115"/>
      <c r="H29" s="115"/>
      <c r="I29" s="115"/>
      <c r="J29" s="116"/>
      <c r="K29" s="165" t="s">
        <v>3</v>
      </c>
      <c r="L29" s="33"/>
      <c r="M29" s="158" t="s">
        <v>16</v>
      </c>
      <c r="N29" s="33"/>
      <c r="O29" s="33"/>
      <c r="P29" s="33"/>
    </row>
    <row r="30" spans="1:16" x14ac:dyDescent="0.3">
      <c r="A30" s="33"/>
      <c r="B30" s="131"/>
      <c r="C30" s="132"/>
      <c r="D30" s="115" t="s">
        <v>0</v>
      </c>
      <c r="E30" s="115"/>
      <c r="F30" s="116"/>
      <c r="G30" s="115" t="s">
        <v>17</v>
      </c>
      <c r="H30" s="116"/>
      <c r="I30" s="115" t="s">
        <v>2</v>
      </c>
      <c r="J30" s="116"/>
      <c r="K30" s="166"/>
      <c r="L30" s="33"/>
      <c r="M30" s="159"/>
      <c r="N30" s="33"/>
      <c r="O30" s="33"/>
      <c r="P30" s="33"/>
    </row>
    <row r="31" spans="1:16" x14ac:dyDescent="0.3">
      <c r="A31" s="33"/>
      <c r="B31" s="117" t="s">
        <v>18</v>
      </c>
      <c r="C31" s="118"/>
      <c r="D31" s="151">
        <v>162</v>
      </c>
      <c r="E31" s="153"/>
      <c r="F31" s="154"/>
      <c r="G31" s="151">
        <v>141</v>
      </c>
      <c r="H31" s="154"/>
      <c r="I31" s="151">
        <v>126</v>
      </c>
      <c r="J31" s="152"/>
      <c r="K31" s="190">
        <v>0</v>
      </c>
      <c r="L31" s="33"/>
      <c r="M31" s="169" t="s">
        <v>29</v>
      </c>
      <c r="N31" s="33"/>
      <c r="O31" s="33"/>
      <c r="P31" s="33"/>
    </row>
    <row r="32" spans="1:16" x14ac:dyDescent="0.3">
      <c r="A32" s="33"/>
      <c r="B32" s="119"/>
      <c r="C32" s="120"/>
      <c r="D32" s="155"/>
      <c r="E32" s="138"/>
      <c r="F32" s="139"/>
      <c r="G32" s="155"/>
      <c r="H32" s="139"/>
      <c r="I32" s="45">
        <v>180</v>
      </c>
      <c r="J32" s="44" t="s">
        <v>29</v>
      </c>
      <c r="K32" s="191"/>
      <c r="L32" s="33"/>
      <c r="M32" s="170"/>
      <c r="N32" s="33"/>
      <c r="O32" s="33"/>
      <c r="P32" s="33"/>
    </row>
    <row r="33" spans="1:16" x14ac:dyDescent="0.3">
      <c r="A33" s="33"/>
      <c r="B33" s="113" t="s">
        <v>20</v>
      </c>
      <c r="C33" s="114"/>
      <c r="D33" s="115">
        <v>267</v>
      </c>
      <c r="E33" s="115"/>
      <c r="F33" s="116"/>
      <c r="G33" s="115">
        <v>258</v>
      </c>
      <c r="H33" s="116"/>
      <c r="I33" s="125">
        <v>264</v>
      </c>
      <c r="J33" s="126"/>
      <c r="K33" s="39">
        <v>250</v>
      </c>
      <c r="L33" s="33"/>
      <c r="M33" s="57" t="s">
        <v>21</v>
      </c>
      <c r="N33" s="33"/>
      <c r="O33" s="33"/>
      <c r="P33" s="33"/>
    </row>
    <row r="34" spans="1:16" x14ac:dyDescent="0.3">
      <c r="A34" s="33"/>
      <c r="B34" s="34" t="s">
        <v>22</v>
      </c>
      <c r="C34" s="35" t="s">
        <v>29</v>
      </c>
      <c r="D34" s="115">
        <v>243</v>
      </c>
      <c r="E34" s="115"/>
      <c r="F34" s="116"/>
      <c r="G34" s="115">
        <v>237</v>
      </c>
      <c r="H34" s="116"/>
      <c r="I34" s="115">
        <v>240</v>
      </c>
      <c r="J34" s="116"/>
      <c r="K34" s="39">
        <v>150</v>
      </c>
      <c r="L34" s="33"/>
      <c r="M34" s="57" t="s">
        <v>23</v>
      </c>
      <c r="N34" s="33"/>
      <c r="O34" s="33"/>
      <c r="P34" s="33"/>
    </row>
    <row r="35" spans="1:16" x14ac:dyDescent="0.3">
      <c r="A35" s="33"/>
      <c r="B35" s="113" t="s">
        <v>24</v>
      </c>
      <c r="C35" s="114"/>
      <c r="D35" s="115">
        <v>261</v>
      </c>
      <c r="E35" s="115"/>
      <c r="F35" s="116"/>
      <c r="G35" s="115">
        <v>255</v>
      </c>
      <c r="H35" s="116"/>
      <c r="I35" s="115">
        <v>252</v>
      </c>
      <c r="J35" s="116"/>
      <c r="K35" s="39">
        <v>200</v>
      </c>
      <c r="L35" s="33"/>
      <c r="M35" s="57" t="s">
        <v>25</v>
      </c>
      <c r="N35" s="33"/>
      <c r="O35" s="33"/>
      <c r="P35" s="33"/>
    </row>
    <row r="36" spans="1:16" x14ac:dyDescent="0.3">
      <c r="A36" s="33"/>
      <c r="B36" s="113" t="s">
        <v>26</v>
      </c>
      <c r="C36" s="114"/>
      <c r="D36" s="115">
        <v>471</v>
      </c>
      <c r="E36" s="115"/>
      <c r="F36" s="116"/>
      <c r="G36" s="115">
        <v>468</v>
      </c>
      <c r="H36" s="116"/>
      <c r="I36" s="115">
        <v>474</v>
      </c>
      <c r="J36" s="116"/>
      <c r="K36" s="39">
        <v>140</v>
      </c>
      <c r="L36" s="33"/>
      <c r="M36" s="57" t="s">
        <v>27</v>
      </c>
      <c r="N36" s="33"/>
      <c r="O36" s="33"/>
      <c r="P36" s="33"/>
    </row>
    <row r="37" spans="1:16" x14ac:dyDescent="0.3">
      <c r="A37" s="33"/>
      <c r="B37" s="140" t="s">
        <v>28</v>
      </c>
      <c r="C37" s="141"/>
      <c r="D37" s="146">
        <v>84</v>
      </c>
      <c r="E37" s="146"/>
      <c r="F37" s="174"/>
      <c r="G37" s="146">
        <v>78</v>
      </c>
      <c r="H37" s="174"/>
      <c r="I37" s="145">
        <v>81</v>
      </c>
      <c r="J37" s="147"/>
      <c r="K37" s="178">
        <v>0</v>
      </c>
      <c r="L37" s="33"/>
      <c r="M37" s="176" t="s">
        <v>29</v>
      </c>
      <c r="N37" s="33"/>
      <c r="O37" s="33"/>
      <c r="P37" s="33"/>
    </row>
    <row r="38" spans="1:16" x14ac:dyDescent="0.3">
      <c r="A38" s="33"/>
      <c r="B38" s="142"/>
      <c r="C38" s="143"/>
      <c r="D38" s="41">
        <v>80</v>
      </c>
      <c r="E38" s="42"/>
      <c r="F38" s="43" t="s">
        <v>29</v>
      </c>
      <c r="G38" s="186"/>
      <c r="H38" s="187"/>
      <c r="I38" s="148"/>
      <c r="J38" s="150"/>
      <c r="K38" s="179"/>
      <c r="L38" s="33"/>
      <c r="M38" s="180"/>
      <c r="N38" s="33"/>
      <c r="O38" s="33"/>
      <c r="P38" s="33"/>
    </row>
    <row r="39" spans="1:16" x14ac:dyDescent="0.3">
      <c r="A39" s="33"/>
      <c r="B39" s="123" t="s">
        <v>12</v>
      </c>
      <c r="C39" s="124"/>
      <c r="D39" s="115">
        <v>270</v>
      </c>
      <c r="E39" s="115"/>
      <c r="F39" s="116"/>
      <c r="G39" s="115">
        <v>300</v>
      </c>
      <c r="H39" s="116"/>
      <c r="I39" s="188">
        <v>170</v>
      </c>
      <c r="J39" s="189"/>
      <c r="K39" s="40" t="s">
        <v>29</v>
      </c>
      <c r="L39" s="33"/>
      <c r="M39" s="33"/>
      <c r="N39" s="33"/>
      <c r="O39" s="33"/>
      <c r="P39" s="33"/>
    </row>
    <row r="40" spans="1:16" x14ac:dyDescent="0.3">
      <c r="A40" s="33"/>
      <c r="B40" s="33"/>
      <c r="C40" s="33"/>
      <c r="D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pans="1:16" x14ac:dyDescent="0.3">
      <c r="A41" s="33"/>
      <c r="B41" s="127" t="s">
        <v>31</v>
      </c>
      <c r="C41" s="121"/>
      <c r="D41" s="135" t="s">
        <v>38</v>
      </c>
      <c r="E41" s="136"/>
      <c r="F41" s="137"/>
      <c r="G41" s="121" t="s">
        <v>39</v>
      </c>
      <c r="H41" s="128"/>
      <c r="I41" s="121" t="s">
        <v>40</v>
      </c>
      <c r="J41" s="122"/>
      <c r="K41" s="33"/>
      <c r="L41" s="33"/>
      <c r="M41" s="33"/>
      <c r="N41" s="33"/>
      <c r="O41" s="33"/>
      <c r="P41" s="33"/>
    </row>
    <row r="42" spans="1:16" x14ac:dyDescent="0.3">
      <c r="A42" s="33"/>
      <c r="B42" s="33"/>
      <c r="C42" s="33"/>
      <c r="D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</row>
    <row r="43" spans="1:16" x14ac:dyDescent="0.3">
      <c r="A43" s="33"/>
      <c r="B43" s="129" t="s">
        <v>14</v>
      </c>
      <c r="C43" s="130"/>
      <c r="D43" s="115" t="s">
        <v>15</v>
      </c>
      <c r="E43" s="115"/>
      <c r="F43" s="115"/>
      <c r="G43" s="115"/>
      <c r="H43" s="115"/>
      <c r="I43" s="115"/>
      <c r="J43" s="116"/>
      <c r="K43" s="165" t="s">
        <v>3</v>
      </c>
      <c r="L43" s="33"/>
      <c r="M43" s="158" t="s">
        <v>16</v>
      </c>
      <c r="N43" s="33"/>
      <c r="O43" s="33"/>
      <c r="P43" s="33"/>
    </row>
    <row r="44" spans="1:16" x14ac:dyDescent="0.3">
      <c r="A44" s="33"/>
      <c r="B44" s="131"/>
      <c r="C44" s="132"/>
      <c r="D44" s="115" t="s">
        <v>0</v>
      </c>
      <c r="E44" s="115"/>
      <c r="F44" s="116"/>
      <c r="G44" s="115" t="s">
        <v>17</v>
      </c>
      <c r="H44" s="116"/>
      <c r="I44" s="115" t="s">
        <v>2</v>
      </c>
      <c r="J44" s="116"/>
      <c r="K44" s="166"/>
      <c r="L44" s="33"/>
      <c r="M44" s="159"/>
      <c r="N44" s="33"/>
      <c r="O44" s="33"/>
      <c r="P44" s="33"/>
    </row>
    <row r="45" spans="1:16" x14ac:dyDescent="0.3">
      <c r="A45" s="33"/>
      <c r="B45" s="140" t="s">
        <v>18</v>
      </c>
      <c r="C45" s="141"/>
      <c r="D45" s="145">
        <v>162</v>
      </c>
      <c r="E45" s="146"/>
      <c r="F45" s="147"/>
      <c r="G45" s="145">
        <v>141</v>
      </c>
      <c r="H45" s="147"/>
      <c r="I45" s="145">
        <v>126</v>
      </c>
      <c r="J45" s="174"/>
      <c r="K45" s="175">
        <v>0</v>
      </c>
      <c r="L45" s="33"/>
      <c r="M45" s="176" t="s">
        <v>29</v>
      </c>
      <c r="N45" s="33"/>
      <c r="O45" s="33"/>
      <c r="P45" s="33"/>
    </row>
    <row r="46" spans="1:16" x14ac:dyDescent="0.3">
      <c r="A46" s="33"/>
      <c r="B46" s="142"/>
      <c r="C46" s="143"/>
      <c r="D46" s="148"/>
      <c r="E46" s="149"/>
      <c r="F46" s="150"/>
      <c r="G46" s="148"/>
      <c r="H46" s="150"/>
      <c r="I46" s="47">
        <v>180</v>
      </c>
      <c r="J46" s="43" t="s">
        <v>29</v>
      </c>
      <c r="K46" s="150"/>
      <c r="L46" s="33"/>
      <c r="M46" s="177"/>
      <c r="N46" s="33"/>
      <c r="O46" s="33"/>
      <c r="P46" s="33"/>
    </row>
    <row r="47" spans="1:16" x14ac:dyDescent="0.3">
      <c r="A47" s="33"/>
      <c r="B47" s="113" t="s">
        <v>20</v>
      </c>
      <c r="C47" s="114"/>
      <c r="D47" s="161">
        <v>267</v>
      </c>
      <c r="E47" s="161"/>
      <c r="F47" s="162"/>
      <c r="G47" s="115">
        <v>258</v>
      </c>
      <c r="H47" s="116"/>
      <c r="I47" s="115">
        <v>264</v>
      </c>
      <c r="J47" s="116"/>
      <c r="K47" s="39">
        <v>250</v>
      </c>
      <c r="L47" s="33"/>
      <c r="M47" s="57" t="s">
        <v>21</v>
      </c>
      <c r="N47" s="33"/>
      <c r="O47" s="33"/>
      <c r="P47" s="33"/>
    </row>
    <row r="48" spans="1:16" x14ac:dyDescent="0.3">
      <c r="A48" s="33"/>
      <c r="B48" s="117" t="s">
        <v>22</v>
      </c>
      <c r="C48" s="118"/>
      <c r="D48" s="151">
        <v>243</v>
      </c>
      <c r="E48" s="153"/>
      <c r="F48" s="152"/>
      <c r="G48" s="153">
        <v>237</v>
      </c>
      <c r="H48" s="154"/>
      <c r="I48" s="151">
        <v>240</v>
      </c>
      <c r="J48" s="154"/>
      <c r="K48" s="167">
        <v>0</v>
      </c>
      <c r="L48" s="33"/>
      <c r="M48" s="169" t="s">
        <v>29</v>
      </c>
      <c r="N48" s="33"/>
      <c r="O48" s="33"/>
      <c r="P48" s="33"/>
    </row>
    <row r="49" spans="1:16" x14ac:dyDescent="0.3">
      <c r="A49" s="33"/>
      <c r="B49" s="119"/>
      <c r="C49" s="120"/>
      <c r="D49" s="48">
        <v>150</v>
      </c>
      <c r="E49" s="49"/>
      <c r="F49" s="44" t="s">
        <v>29</v>
      </c>
      <c r="G49" s="138"/>
      <c r="H49" s="139"/>
      <c r="I49" s="155"/>
      <c r="J49" s="139"/>
      <c r="K49" s="168"/>
      <c r="L49" s="33"/>
      <c r="M49" s="170"/>
      <c r="N49" s="33"/>
      <c r="O49" s="33"/>
      <c r="P49" s="33"/>
    </row>
    <row r="50" spans="1:16" x14ac:dyDescent="0.3">
      <c r="A50" s="33"/>
      <c r="B50" s="113" t="s">
        <v>24</v>
      </c>
      <c r="C50" s="114"/>
      <c r="D50" s="125">
        <v>261</v>
      </c>
      <c r="E50" s="125"/>
      <c r="F50" s="126"/>
      <c r="G50" s="115">
        <v>255</v>
      </c>
      <c r="H50" s="116"/>
      <c r="I50" s="115">
        <v>252</v>
      </c>
      <c r="J50" s="116"/>
      <c r="K50" s="39">
        <v>200</v>
      </c>
      <c r="L50" s="33"/>
      <c r="M50" s="57" t="s">
        <v>25</v>
      </c>
      <c r="N50" s="33"/>
      <c r="O50" s="33"/>
      <c r="P50" s="33"/>
    </row>
    <row r="51" spans="1:16" x14ac:dyDescent="0.3">
      <c r="A51" s="33"/>
      <c r="B51" s="113" t="s">
        <v>26</v>
      </c>
      <c r="C51" s="114"/>
      <c r="D51" s="115">
        <v>471</v>
      </c>
      <c r="E51" s="115"/>
      <c r="F51" s="116"/>
      <c r="G51" s="115">
        <v>468</v>
      </c>
      <c r="H51" s="116"/>
      <c r="I51" s="115">
        <v>474</v>
      </c>
      <c r="J51" s="116"/>
      <c r="K51" s="39">
        <v>140</v>
      </c>
      <c r="L51" s="33"/>
      <c r="M51" s="57" t="s">
        <v>27</v>
      </c>
      <c r="N51" s="33"/>
      <c r="O51" s="33"/>
      <c r="P51" s="33"/>
    </row>
    <row r="52" spans="1:16" x14ac:dyDescent="0.3">
      <c r="A52" s="33"/>
      <c r="B52" s="140" t="s">
        <v>28</v>
      </c>
      <c r="C52" s="141"/>
      <c r="D52" s="146">
        <v>84</v>
      </c>
      <c r="E52" s="146"/>
      <c r="F52" s="174"/>
      <c r="G52" s="146">
        <v>78</v>
      </c>
      <c r="H52" s="174"/>
      <c r="I52" s="145">
        <v>81</v>
      </c>
      <c r="J52" s="147"/>
      <c r="K52" s="178">
        <v>0</v>
      </c>
      <c r="L52" s="33"/>
      <c r="M52" s="176" t="s">
        <v>29</v>
      </c>
      <c r="N52" s="33"/>
      <c r="O52" s="33"/>
      <c r="P52" s="33"/>
    </row>
    <row r="53" spans="1:16" x14ac:dyDescent="0.3">
      <c r="A53" s="33"/>
      <c r="B53" s="142"/>
      <c r="C53" s="143"/>
      <c r="D53" s="41">
        <v>80</v>
      </c>
      <c r="E53" s="42"/>
      <c r="F53" s="43" t="s">
        <v>29</v>
      </c>
      <c r="G53" s="186"/>
      <c r="H53" s="187"/>
      <c r="I53" s="148"/>
      <c r="J53" s="150"/>
      <c r="K53" s="179"/>
      <c r="L53" s="33"/>
      <c r="M53" s="180"/>
      <c r="N53" s="33"/>
      <c r="O53" s="33"/>
      <c r="P53" s="33"/>
    </row>
    <row r="54" spans="1:16" x14ac:dyDescent="0.3">
      <c r="A54" s="33"/>
      <c r="B54" s="123" t="s">
        <v>12</v>
      </c>
      <c r="C54" s="124"/>
      <c r="D54" s="188">
        <v>120</v>
      </c>
      <c r="E54" s="188"/>
      <c r="F54" s="189"/>
      <c r="G54" s="115">
        <v>300</v>
      </c>
      <c r="H54" s="116"/>
      <c r="I54" s="192">
        <v>170</v>
      </c>
      <c r="J54" s="193"/>
      <c r="K54" s="40" t="s">
        <v>29</v>
      </c>
      <c r="L54" s="33"/>
      <c r="M54" s="59"/>
      <c r="N54" s="33"/>
      <c r="O54" s="33"/>
      <c r="P54" s="33"/>
    </row>
    <row r="55" spans="1:16" x14ac:dyDescent="0.3">
      <c r="A55" s="33"/>
      <c r="B55" s="33"/>
      <c r="C55" s="33"/>
      <c r="D55" s="33"/>
      <c r="F55" s="33"/>
      <c r="G55" s="33"/>
      <c r="H55" s="33"/>
      <c r="I55" s="33"/>
      <c r="J55" s="33"/>
      <c r="K55" s="33"/>
      <c r="L55" s="33"/>
      <c r="M55" s="59"/>
      <c r="N55" s="33"/>
      <c r="O55" s="33"/>
      <c r="P55" s="33"/>
    </row>
    <row r="56" spans="1:16" x14ac:dyDescent="0.3">
      <c r="A56" s="33"/>
      <c r="B56" s="127" t="s">
        <v>31</v>
      </c>
      <c r="C56" s="128"/>
      <c r="D56" s="121" t="s">
        <v>41</v>
      </c>
      <c r="E56" s="121"/>
      <c r="F56" s="128"/>
      <c r="G56" s="121" t="s">
        <v>42</v>
      </c>
      <c r="H56" s="128"/>
      <c r="I56" s="136" t="s">
        <v>43</v>
      </c>
      <c r="J56" s="144"/>
      <c r="K56" s="33"/>
      <c r="L56" s="33"/>
      <c r="M56" s="59"/>
      <c r="N56" s="33"/>
      <c r="O56" s="33"/>
      <c r="P56" s="33"/>
    </row>
    <row r="57" spans="1:16" x14ac:dyDescent="0.3">
      <c r="A57" s="33"/>
      <c r="B57" s="33"/>
      <c r="C57" s="33"/>
      <c r="D57" s="33"/>
      <c r="F57" s="33"/>
      <c r="G57" s="33"/>
      <c r="H57" s="33"/>
      <c r="I57" s="33"/>
      <c r="J57" s="33"/>
      <c r="K57" s="33"/>
      <c r="L57" s="33"/>
      <c r="M57" s="59"/>
      <c r="N57" s="33"/>
      <c r="O57" s="33"/>
      <c r="P57" s="33"/>
    </row>
    <row r="58" spans="1:16" x14ac:dyDescent="0.3">
      <c r="A58" s="33"/>
      <c r="B58" s="129" t="s">
        <v>14</v>
      </c>
      <c r="C58" s="130"/>
      <c r="D58" s="115" t="s">
        <v>15</v>
      </c>
      <c r="E58" s="115"/>
      <c r="F58" s="115"/>
      <c r="G58" s="115"/>
      <c r="H58" s="115"/>
      <c r="I58" s="115"/>
      <c r="J58" s="116"/>
      <c r="K58" s="165" t="s">
        <v>3</v>
      </c>
      <c r="L58" s="33"/>
      <c r="M58" s="158" t="s">
        <v>16</v>
      </c>
      <c r="N58" s="33"/>
      <c r="O58" s="33"/>
      <c r="P58" s="33"/>
    </row>
    <row r="59" spans="1:16" x14ac:dyDescent="0.3">
      <c r="A59" s="33"/>
      <c r="B59" s="131"/>
      <c r="C59" s="132"/>
      <c r="D59" s="115" t="s">
        <v>0</v>
      </c>
      <c r="E59" s="115"/>
      <c r="F59" s="116"/>
      <c r="G59" s="115" t="s">
        <v>17</v>
      </c>
      <c r="H59" s="116"/>
      <c r="I59" s="115" t="s">
        <v>2</v>
      </c>
      <c r="J59" s="116"/>
      <c r="K59" s="166"/>
      <c r="L59" s="33"/>
      <c r="M59" s="159"/>
      <c r="N59" s="33"/>
      <c r="O59" s="33"/>
      <c r="P59" s="33"/>
    </row>
    <row r="60" spans="1:16" x14ac:dyDescent="0.3">
      <c r="A60" s="33"/>
      <c r="B60" s="140" t="s">
        <v>18</v>
      </c>
      <c r="C60" s="141"/>
      <c r="D60" s="145">
        <v>162</v>
      </c>
      <c r="E60" s="146"/>
      <c r="F60" s="147"/>
      <c r="G60" s="145">
        <v>141</v>
      </c>
      <c r="H60" s="147"/>
      <c r="I60" s="151">
        <v>126</v>
      </c>
      <c r="J60" s="152"/>
      <c r="K60" s="175">
        <v>0</v>
      </c>
      <c r="L60" s="33"/>
      <c r="M60" s="176" t="s">
        <v>29</v>
      </c>
      <c r="N60" s="33"/>
      <c r="O60" s="33"/>
      <c r="P60" s="33"/>
    </row>
    <row r="61" spans="1:16" x14ac:dyDescent="0.3">
      <c r="A61" s="33"/>
      <c r="B61" s="142"/>
      <c r="C61" s="143"/>
      <c r="D61" s="148"/>
      <c r="E61" s="149"/>
      <c r="F61" s="150"/>
      <c r="G61" s="148"/>
      <c r="H61" s="150"/>
      <c r="I61" s="45">
        <v>180</v>
      </c>
      <c r="J61" s="44" t="s">
        <v>29</v>
      </c>
      <c r="K61" s="150"/>
      <c r="L61" s="33"/>
      <c r="M61" s="177"/>
      <c r="N61" s="33"/>
      <c r="O61" s="33"/>
      <c r="P61" s="33"/>
    </row>
    <row r="62" spans="1:16" x14ac:dyDescent="0.3">
      <c r="A62" s="33"/>
      <c r="B62" s="113" t="s">
        <v>20</v>
      </c>
      <c r="C62" s="114"/>
      <c r="D62" s="115">
        <v>267</v>
      </c>
      <c r="E62" s="115"/>
      <c r="F62" s="116"/>
      <c r="G62" s="115">
        <v>258</v>
      </c>
      <c r="H62" s="116"/>
      <c r="I62" s="172">
        <v>264</v>
      </c>
      <c r="J62" s="173"/>
      <c r="K62" s="39">
        <v>250</v>
      </c>
      <c r="L62" s="33"/>
      <c r="M62" s="60" t="s">
        <v>44</v>
      </c>
      <c r="N62" s="33"/>
      <c r="O62" s="33"/>
      <c r="P62" s="33"/>
    </row>
    <row r="63" spans="1:16" x14ac:dyDescent="0.3">
      <c r="A63" s="33"/>
      <c r="B63" s="140" t="s">
        <v>22</v>
      </c>
      <c r="C63" s="141"/>
      <c r="D63" s="145">
        <v>243</v>
      </c>
      <c r="E63" s="146"/>
      <c r="F63" s="174"/>
      <c r="G63" s="146">
        <v>237</v>
      </c>
      <c r="H63" s="147"/>
      <c r="I63" s="151">
        <v>240</v>
      </c>
      <c r="J63" s="154"/>
      <c r="K63" s="178">
        <v>0</v>
      </c>
      <c r="L63" s="33"/>
      <c r="M63" s="176" t="s">
        <v>29</v>
      </c>
      <c r="N63" s="33"/>
      <c r="O63" s="33"/>
      <c r="P63" s="33"/>
    </row>
    <row r="64" spans="1:16" x14ac:dyDescent="0.3">
      <c r="A64" s="33"/>
      <c r="B64" s="142"/>
      <c r="C64" s="143"/>
      <c r="D64" s="51">
        <v>150</v>
      </c>
      <c r="E64" s="42"/>
      <c r="F64" s="43" t="s">
        <v>29</v>
      </c>
      <c r="G64" s="149"/>
      <c r="H64" s="150"/>
      <c r="I64" s="155"/>
      <c r="J64" s="139"/>
      <c r="K64" s="181"/>
      <c r="L64" s="33"/>
      <c r="M64" s="177"/>
      <c r="N64" s="33"/>
      <c r="O64" s="33"/>
      <c r="P64" s="33"/>
    </row>
    <row r="65" spans="1:16" x14ac:dyDescent="0.3">
      <c r="A65" s="33"/>
      <c r="B65" s="194" t="s">
        <v>24</v>
      </c>
      <c r="C65" s="195"/>
      <c r="D65" s="198">
        <v>261</v>
      </c>
      <c r="E65" s="161"/>
      <c r="F65" s="162"/>
      <c r="G65" s="198">
        <v>255</v>
      </c>
      <c r="H65" s="162"/>
      <c r="I65" s="151">
        <v>252</v>
      </c>
      <c r="J65" s="152"/>
      <c r="K65" s="200">
        <v>30</v>
      </c>
      <c r="L65" s="33"/>
      <c r="M65" s="201" t="s">
        <v>45</v>
      </c>
      <c r="N65" s="33"/>
      <c r="O65" s="33"/>
      <c r="P65" s="33"/>
    </row>
    <row r="66" spans="1:16" x14ac:dyDescent="0.3">
      <c r="A66" s="33"/>
      <c r="B66" s="196"/>
      <c r="C66" s="197"/>
      <c r="D66" s="199"/>
      <c r="E66" s="125"/>
      <c r="F66" s="126"/>
      <c r="G66" s="199"/>
      <c r="H66" s="126"/>
      <c r="I66" s="45">
        <v>170</v>
      </c>
      <c r="J66" s="44" t="s">
        <v>29</v>
      </c>
      <c r="K66" s="134"/>
      <c r="L66" s="33"/>
      <c r="M66" s="159"/>
      <c r="N66" s="33"/>
      <c r="O66" s="33"/>
      <c r="P66" s="33"/>
    </row>
    <row r="67" spans="1:16" x14ac:dyDescent="0.3">
      <c r="A67" s="33"/>
      <c r="B67" s="113" t="s">
        <v>26</v>
      </c>
      <c r="C67" s="114"/>
      <c r="D67" s="115">
        <v>471</v>
      </c>
      <c r="E67" s="115"/>
      <c r="F67" s="116"/>
      <c r="G67" s="115">
        <v>468</v>
      </c>
      <c r="H67" s="116"/>
      <c r="I67" s="138">
        <v>474</v>
      </c>
      <c r="J67" s="139"/>
      <c r="K67" s="39">
        <v>140</v>
      </c>
      <c r="L67" s="33"/>
      <c r="M67" s="57" t="s">
        <v>46</v>
      </c>
      <c r="N67" s="33"/>
      <c r="O67" s="33"/>
      <c r="P67" s="33"/>
    </row>
    <row r="68" spans="1:16" x14ac:dyDescent="0.3">
      <c r="A68" s="33"/>
      <c r="B68" s="140" t="s">
        <v>28</v>
      </c>
      <c r="C68" s="141"/>
      <c r="D68" s="146">
        <v>84</v>
      </c>
      <c r="E68" s="146"/>
      <c r="F68" s="174"/>
      <c r="G68" s="145">
        <v>78</v>
      </c>
      <c r="H68" s="147"/>
      <c r="I68" s="151">
        <v>81</v>
      </c>
      <c r="J68" s="154"/>
      <c r="K68" s="178">
        <v>0</v>
      </c>
      <c r="L68" s="33"/>
      <c r="M68" s="176" t="s">
        <v>29</v>
      </c>
      <c r="N68" s="33"/>
      <c r="O68" s="33"/>
      <c r="P68" s="33"/>
    </row>
    <row r="69" spans="1:16" x14ac:dyDescent="0.3">
      <c r="A69" s="33"/>
      <c r="B69" s="142"/>
      <c r="C69" s="143"/>
      <c r="D69" s="41">
        <v>80</v>
      </c>
      <c r="E69" s="42"/>
      <c r="F69" s="43" t="s">
        <v>29</v>
      </c>
      <c r="G69" s="148"/>
      <c r="H69" s="150"/>
      <c r="I69" s="155"/>
      <c r="J69" s="139"/>
      <c r="K69" s="181"/>
      <c r="L69" s="33"/>
      <c r="M69" s="180"/>
      <c r="N69" s="33"/>
      <c r="O69" s="33"/>
      <c r="P69" s="33"/>
    </row>
    <row r="70" spans="1:16" x14ac:dyDescent="0.3">
      <c r="A70" s="33"/>
      <c r="B70" s="123" t="s">
        <v>12</v>
      </c>
      <c r="C70" s="124"/>
      <c r="D70" s="192">
        <v>120</v>
      </c>
      <c r="E70" s="192"/>
      <c r="F70" s="193"/>
      <c r="G70" s="115">
        <v>300</v>
      </c>
      <c r="H70" s="116"/>
      <c r="I70" s="202">
        <v>0</v>
      </c>
      <c r="J70" s="203"/>
      <c r="K70" s="40" t="s">
        <v>29</v>
      </c>
      <c r="L70" s="33"/>
      <c r="M70" s="59"/>
      <c r="N70" s="33"/>
      <c r="O70" s="33"/>
      <c r="P70" s="33"/>
    </row>
    <row r="71" spans="1:16" x14ac:dyDescent="0.3">
      <c r="A71" s="33"/>
      <c r="B71" s="33"/>
      <c r="C71" s="33"/>
      <c r="D71" s="33"/>
      <c r="F71" s="33"/>
      <c r="G71" s="33"/>
      <c r="H71" s="33"/>
      <c r="I71" s="33"/>
      <c r="J71" s="33"/>
      <c r="K71" s="33"/>
      <c r="L71" s="33"/>
      <c r="M71" s="59"/>
      <c r="N71" s="33"/>
      <c r="O71" s="33"/>
      <c r="P71" s="33"/>
    </row>
    <row r="72" spans="1:16" x14ac:dyDescent="0.3">
      <c r="A72" s="33"/>
      <c r="B72" s="127" t="s">
        <v>31</v>
      </c>
      <c r="C72" s="128"/>
      <c r="D72" s="121" t="s">
        <v>47</v>
      </c>
      <c r="E72" s="121"/>
      <c r="F72" s="128"/>
      <c r="G72" s="121" t="s">
        <v>48</v>
      </c>
      <c r="H72" s="128"/>
      <c r="I72" s="156" t="s">
        <v>29</v>
      </c>
      <c r="J72" s="157"/>
      <c r="K72" s="33"/>
      <c r="L72" s="33"/>
      <c r="M72" s="59"/>
      <c r="N72" s="33"/>
      <c r="O72" s="33"/>
      <c r="P72" s="33"/>
    </row>
    <row r="73" spans="1:16" x14ac:dyDescent="0.3">
      <c r="A73" s="33"/>
      <c r="B73" s="33"/>
      <c r="C73" s="33"/>
      <c r="D73" s="33"/>
      <c r="F73" s="33"/>
      <c r="G73" s="33"/>
      <c r="H73" s="33"/>
      <c r="I73" s="33"/>
      <c r="J73" s="33"/>
      <c r="K73" s="33"/>
      <c r="L73" s="33"/>
      <c r="M73" s="59"/>
      <c r="N73" s="33"/>
      <c r="O73" s="33"/>
      <c r="P73" s="33"/>
    </row>
    <row r="74" spans="1:16" x14ac:dyDescent="0.3">
      <c r="A74" s="33"/>
      <c r="B74" s="129" t="s">
        <v>14</v>
      </c>
      <c r="C74" s="130"/>
      <c r="D74" s="115" t="s">
        <v>15</v>
      </c>
      <c r="E74" s="115"/>
      <c r="F74" s="115"/>
      <c r="G74" s="115"/>
      <c r="H74" s="115"/>
      <c r="I74" s="115"/>
      <c r="J74" s="116"/>
      <c r="K74" s="165" t="s">
        <v>3</v>
      </c>
      <c r="L74" s="33"/>
      <c r="M74" s="158" t="s">
        <v>16</v>
      </c>
      <c r="N74" s="33"/>
      <c r="O74" s="33"/>
      <c r="P74" s="33"/>
    </row>
    <row r="75" spans="1:16" x14ac:dyDescent="0.3">
      <c r="A75" s="33"/>
      <c r="B75" s="131"/>
      <c r="C75" s="132"/>
      <c r="D75" s="115" t="s">
        <v>0</v>
      </c>
      <c r="E75" s="115"/>
      <c r="F75" s="116"/>
      <c r="G75" s="115" t="s">
        <v>17</v>
      </c>
      <c r="H75" s="116"/>
      <c r="I75" s="115" t="s">
        <v>2</v>
      </c>
      <c r="J75" s="116"/>
      <c r="K75" s="166"/>
      <c r="L75" s="33"/>
      <c r="M75" s="159"/>
      <c r="N75" s="33"/>
      <c r="O75" s="33"/>
      <c r="P75" s="33"/>
    </row>
    <row r="76" spans="1:16" x14ac:dyDescent="0.3">
      <c r="A76" s="33"/>
      <c r="B76" s="140" t="s">
        <v>18</v>
      </c>
      <c r="C76" s="141"/>
      <c r="D76" s="145">
        <v>162</v>
      </c>
      <c r="E76" s="146"/>
      <c r="F76" s="147"/>
      <c r="G76" s="145">
        <v>141</v>
      </c>
      <c r="H76" s="147"/>
      <c r="I76" s="146">
        <v>126</v>
      </c>
      <c r="J76" s="174"/>
      <c r="K76" s="178">
        <v>0</v>
      </c>
      <c r="L76" s="33"/>
      <c r="M76" s="176" t="s">
        <v>29</v>
      </c>
      <c r="N76" s="33"/>
      <c r="O76" s="33"/>
      <c r="P76" s="33"/>
    </row>
    <row r="77" spans="1:16" x14ac:dyDescent="0.3">
      <c r="A77" s="33"/>
      <c r="B77" s="142"/>
      <c r="C77" s="143"/>
      <c r="D77" s="148"/>
      <c r="E77" s="149"/>
      <c r="F77" s="150"/>
      <c r="G77" s="148"/>
      <c r="H77" s="150"/>
      <c r="I77" s="52">
        <v>180</v>
      </c>
      <c r="J77" s="43" t="s">
        <v>29</v>
      </c>
      <c r="K77" s="181"/>
      <c r="L77" s="33"/>
      <c r="M77" s="177"/>
      <c r="N77" s="33"/>
      <c r="O77" s="33"/>
      <c r="P77" s="33"/>
    </row>
    <row r="78" spans="1:16" x14ac:dyDescent="0.3">
      <c r="A78" s="33"/>
      <c r="B78" s="117" t="s">
        <v>20</v>
      </c>
      <c r="C78" s="118"/>
      <c r="D78" s="151">
        <v>267</v>
      </c>
      <c r="E78" s="153"/>
      <c r="F78" s="154"/>
      <c r="G78" s="151">
        <v>258</v>
      </c>
      <c r="H78" s="152"/>
      <c r="I78" s="153">
        <v>264</v>
      </c>
      <c r="J78" s="154"/>
      <c r="K78" s="167">
        <v>0</v>
      </c>
      <c r="L78" s="33"/>
      <c r="M78" s="169" t="s">
        <v>29</v>
      </c>
      <c r="N78" s="33"/>
      <c r="O78" s="33"/>
      <c r="P78" s="33"/>
    </row>
    <row r="79" spans="1:16" x14ac:dyDescent="0.3">
      <c r="A79" s="33"/>
      <c r="B79" s="119"/>
      <c r="C79" s="120"/>
      <c r="D79" s="155"/>
      <c r="E79" s="138"/>
      <c r="F79" s="139"/>
      <c r="G79" s="45">
        <v>250</v>
      </c>
      <c r="H79" s="44" t="s">
        <v>29</v>
      </c>
      <c r="I79" s="138"/>
      <c r="J79" s="139"/>
      <c r="K79" s="168"/>
      <c r="L79" s="33"/>
      <c r="M79" s="170"/>
      <c r="N79" s="33"/>
      <c r="O79" s="33"/>
      <c r="P79" s="33"/>
    </row>
    <row r="80" spans="1:16" x14ac:dyDescent="0.3">
      <c r="A80" s="33"/>
      <c r="B80" s="140" t="s">
        <v>22</v>
      </c>
      <c r="C80" s="141"/>
      <c r="D80" s="146">
        <v>243</v>
      </c>
      <c r="E80" s="146"/>
      <c r="F80" s="174"/>
      <c r="G80" s="211">
        <v>237</v>
      </c>
      <c r="H80" s="175"/>
      <c r="I80" s="145">
        <v>240</v>
      </c>
      <c r="J80" s="147"/>
      <c r="K80" s="205">
        <v>0</v>
      </c>
      <c r="L80" s="33"/>
      <c r="M80" s="176" t="s">
        <v>29</v>
      </c>
      <c r="N80" s="33"/>
      <c r="O80" s="33"/>
      <c r="P80" s="33"/>
    </row>
    <row r="81" spans="1:16" x14ac:dyDescent="0.3">
      <c r="A81" s="33"/>
      <c r="B81" s="142"/>
      <c r="C81" s="143"/>
      <c r="D81" s="41">
        <v>150</v>
      </c>
      <c r="E81" s="42"/>
      <c r="F81" s="43" t="s">
        <v>29</v>
      </c>
      <c r="G81" s="148"/>
      <c r="H81" s="150"/>
      <c r="I81" s="148"/>
      <c r="J81" s="150"/>
      <c r="K81" s="206"/>
      <c r="L81" s="33"/>
      <c r="M81" s="177"/>
      <c r="N81" s="33"/>
      <c r="O81" s="33"/>
      <c r="P81" s="33"/>
    </row>
    <row r="82" spans="1:16" x14ac:dyDescent="0.3">
      <c r="A82" s="33"/>
      <c r="B82" s="194" t="s">
        <v>24</v>
      </c>
      <c r="C82" s="195"/>
      <c r="D82" s="198">
        <v>261</v>
      </c>
      <c r="E82" s="161"/>
      <c r="F82" s="162"/>
      <c r="G82" s="198">
        <v>255</v>
      </c>
      <c r="H82" s="162"/>
      <c r="I82" s="146">
        <v>252</v>
      </c>
      <c r="J82" s="174"/>
      <c r="K82" s="207">
        <v>30</v>
      </c>
      <c r="L82" s="33"/>
      <c r="M82" s="201" t="s">
        <v>49</v>
      </c>
      <c r="N82" s="33"/>
      <c r="O82" s="33"/>
      <c r="P82" s="33"/>
    </row>
    <row r="83" spans="1:16" x14ac:dyDescent="0.3">
      <c r="A83" s="33"/>
      <c r="B83" s="196"/>
      <c r="C83" s="197"/>
      <c r="D83" s="199"/>
      <c r="E83" s="125"/>
      <c r="F83" s="126"/>
      <c r="G83" s="199"/>
      <c r="H83" s="126"/>
      <c r="I83" s="52">
        <v>170</v>
      </c>
      <c r="J83" s="43" t="s">
        <v>29</v>
      </c>
      <c r="K83" s="208"/>
      <c r="L83" s="33"/>
      <c r="M83" s="159"/>
      <c r="N83" s="33"/>
      <c r="O83" s="33"/>
      <c r="P83" s="33"/>
    </row>
    <row r="84" spans="1:16" x14ac:dyDescent="0.3">
      <c r="A84" s="33"/>
      <c r="B84" s="113" t="s">
        <v>26</v>
      </c>
      <c r="C84" s="114"/>
      <c r="D84" s="115">
        <v>471</v>
      </c>
      <c r="E84" s="115"/>
      <c r="F84" s="116"/>
      <c r="G84" s="115">
        <v>468</v>
      </c>
      <c r="H84" s="116"/>
      <c r="I84" s="209">
        <v>474</v>
      </c>
      <c r="J84" s="210"/>
      <c r="K84" s="39">
        <v>140</v>
      </c>
      <c r="L84" s="33"/>
      <c r="M84" s="57" t="s">
        <v>46</v>
      </c>
      <c r="N84" s="33"/>
      <c r="O84" s="33"/>
      <c r="P84" s="33"/>
    </row>
    <row r="85" spans="1:16" x14ac:dyDescent="0.3">
      <c r="A85" s="33"/>
      <c r="B85" s="140" t="s">
        <v>28</v>
      </c>
      <c r="C85" s="141"/>
      <c r="D85" s="146">
        <v>84</v>
      </c>
      <c r="E85" s="146"/>
      <c r="F85" s="174"/>
      <c r="G85" s="145">
        <v>78</v>
      </c>
      <c r="H85" s="174"/>
      <c r="I85" s="145">
        <v>81</v>
      </c>
      <c r="J85" s="147"/>
      <c r="K85" s="178">
        <v>0</v>
      </c>
      <c r="L85" s="33"/>
      <c r="M85" s="176" t="s">
        <v>29</v>
      </c>
      <c r="N85" s="33"/>
      <c r="O85" s="33"/>
      <c r="P85" s="33"/>
    </row>
    <row r="86" spans="1:16" x14ac:dyDescent="0.3">
      <c r="A86" s="33"/>
      <c r="B86" s="142"/>
      <c r="C86" s="143"/>
      <c r="D86" s="41">
        <v>80</v>
      </c>
      <c r="E86" s="42"/>
      <c r="F86" s="43" t="s">
        <v>29</v>
      </c>
      <c r="G86" s="204"/>
      <c r="H86" s="187"/>
      <c r="I86" s="148"/>
      <c r="J86" s="150"/>
      <c r="K86" s="179"/>
      <c r="L86" s="33"/>
      <c r="M86" s="180"/>
      <c r="N86" s="33"/>
      <c r="O86" s="33"/>
      <c r="P86" s="33"/>
    </row>
    <row r="87" spans="1:16" x14ac:dyDescent="0.3">
      <c r="A87" s="33"/>
      <c r="B87" s="123" t="s">
        <v>12</v>
      </c>
      <c r="C87" s="124"/>
      <c r="D87" s="192">
        <v>120</v>
      </c>
      <c r="E87" s="192"/>
      <c r="F87" s="193"/>
      <c r="G87" s="188">
        <v>50</v>
      </c>
      <c r="H87" s="189"/>
      <c r="I87" s="192">
        <v>0</v>
      </c>
      <c r="J87" s="193"/>
      <c r="K87" s="40" t="s">
        <v>29</v>
      </c>
      <c r="L87" s="33"/>
      <c r="M87" s="59"/>
      <c r="N87" s="33"/>
      <c r="O87" s="33"/>
      <c r="P87" s="33"/>
    </row>
    <row r="88" spans="1:16" x14ac:dyDescent="0.3">
      <c r="A88" s="33"/>
      <c r="B88" s="33"/>
      <c r="C88" s="33"/>
      <c r="D88" s="33"/>
      <c r="F88" s="33"/>
      <c r="G88" s="33"/>
      <c r="H88" s="33"/>
      <c r="I88" s="33"/>
      <c r="J88" s="33"/>
      <c r="K88" s="33"/>
      <c r="L88" s="33"/>
      <c r="M88" s="59"/>
      <c r="N88" s="33"/>
      <c r="O88" s="33"/>
      <c r="P88" s="33"/>
    </row>
    <row r="89" spans="1:16" x14ac:dyDescent="0.3">
      <c r="A89" s="33"/>
      <c r="B89" s="127" t="s">
        <v>31</v>
      </c>
      <c r="C89" s="128"/>
      <c r="D89" s="212" t="s">
        <v>50</v>
      </c>
      <c r="E89" s="212"/>
      <c r="F89" s="213"/>
      <c r="G89" s="214" t="s">
        <v>51</v>
      </c>
      <c r="H89" s="215"/>
      <c r="I89" s="33"/>
      <c r="J89" s="33"/>
      <c r="K89" s="33"/>
      <c r="L89" s="33"/>
      <c r="M89" s="59"/>
      <c r="N89" s="33"/>
      <c r="O89" s="33"/>
      <c r="P89" s="33"/>
    </row>
    <row r="90" spans="1:16" x14ac:dyDescent="0.3">
      <c r="A90" s="33"/>
      <c r="B90" s="33"/>
      <c r="C90" s="33"/>
      <c r="D90" s="33"/>
      <c r="F90" s="33"/>
      <c r="G90" s="33"/>
      <c r="H90" s="33"/>
      <c r="I90" s="33"/>
      <c r="J90" s="33"/>
      <c r="K90" s="33"/>
      <c r="L90" s="33"/>
      <c r="M90" s="59"/>
      <c r="N90" s="33"/>
      <c r="O90" s="33"/>
      <c r="P90" s="33"/>
    </row>
    <row r="91" spans="1:16" x14ac:dyDescent="0.3">
      <c r="A91" s="33"/>
      <c r="B91" s="33"/>
      <c r="C91" s="33"/>
      <c r="D91" s="33"/>
      <c r="F91" s="33"/>
      <c r="G91" s="33"/>
      <c r="H91" s="33"/>
      <c r="I91" s="33"/>
      <c r="J91" s="33"/>
      <c r="K91" s="33"/>
      <c r="L91" s="33"/>
      <c r="M91" s="59"/>
      <c r="N91" s="33"/>
      <c r="O91" s="33"/>
      <c r="P91" s="33"/>
    </row>
    <row r="92" spans="1:16" x14ac:dyDescent="0.3">
      <c r="A92" s="33"/>
      <c r="B92" s="129" t="s">
        <v>14</v>
      </c>
      <c r="C92" s="130"/>
      <c r="D92" s="115" t="s">
        <v>15</v>
      </c>
      <c r="E92" s="115"/>
      <c r="F92" s="115"/>
      <c r="G92" s="115"/>
      <c r="H92" s="115"/>
      <c r="I92" s="115"/>
      <c r="J92" s="116"/>
      <c r="K92" s="165" t="s">
        <v>3</v>
      </c>
      <c r="L92" s="33"/>
      <c r="M92" s="59"/>
      <c r="N92" s="33"/>
      <c r="O92" s="33"/>
      <c r="P92" s="33"/>
    </row>
    <row r="93" spans="1:16" x14ac:dyDescent="0.3">
      <c r="A93" s="33"/>
      <c r="B93" s="131"/>
      <c r="C93" s="132"/>
      <c r="D93" s="115" t="s">
        <v>0</v>
      </c>
      <c r="E93" s="115"/>
      <c r="F93" s="116"/>
      <c r="G93" s="115" t="s">
        <v>17</v>
      </c>
      <c r="H93" s="116"/>
      <c r="I93" s="115" t="s">
        <v>2</v>
      </c>
      <c r="J93" s="116"/>
      <c r="K93" s="166"/>
      <c r="L93" s="33"/>
      <c r="M93" s="59"/>
      <c r="N93" s="33"/>
      <c r="O93" s="33"/>
      <c r="P93" s="33"/>
    </row>
    <row r="94" spans="1:16" x14ac:dyDescent="0.3">
      <c r="A94" s="33"/>
      <c r="B94" s="140" t="s">
        <v>18</v>
      </c>
      <c r="C94" s="141"/>
      <c r="D94" s="145">
        <v>162</v>
      </c>
      <c r="E94" s="146"/>
      <c r="F94" s="147"/>
      <c r="G94" s="145">
        <v>141</v>
      </c>
      <c r="H94" s="147"/>
      <c r="I94" s="146">
        <v>126</v>
      </c>
      <c r="J94" s="174"/>
      <c r="K94" s="178">
        <v>0</v>
      </c>
      <c r="L94" s="33"/>
      <c r="M94" s="59"/>
      <c r="N94" s="33"/>
      <c r="O94" s="33"/>
      <c r="P94" s="33"/>
    </row>
    <row r="95" spans="1:16" x14ac:dyDescent="0.3">
      <c r="A95" s="33"/>
      <c r="B95" s="142"/>
      <c r="C95" s="143"/>
      <c r="D95" s="148"/>
      <c r="E95" s="149"/>
      <c r="F95" s="150"/>
      <c r="G95" s="148"/>
      <c r="H95" s="150"/>
      <c r="I95" s="52">
        <v>180</v>
      </c>
      <c r="J95" s="43" t="s">
        <v>29</v>
      </c>
      <c r="K95" s="181"/>
      <c r="L95" s="33"/>
      <c r="M95" s="33"/>
      <c r="N95" s="33"/>
      <c r="O95" s="33"/>
      <c r="P95" s="33"/>
    </row>
    <row r="96" spans="1:16" x14ac:dyDescent="0.3">
      <c r="A96" s="33"/>
      <c r="B96" s="140" t="s">
        <v>20</v>
      </c>
      <c r="C96" s="141"/>
      <c r="D96" s="145">
        <v>267</v>
      </c>
      <c r="E96" s="146"/>
      <c r="F96" s="147"/>
      <c r="G96" s="146">
        <v>258</v>
      </c>
      <c r="H96" s="174"/>
      <c r="I96" s="145">
        <v>264</v>
      </c>
      <c r="J96" s="147"/>
      <c r="K96" s="205">
        <v>0</v>
      </c>
      <c r="L96" s="33"/>
      <c r="M96" s="33"/>
      <c r="N96" s="33"/>
      <c r="O96" s="33"/>
      <c r="P96" s="33"/>
    </row>
    <row r="97" spans="1:16" x14ac:dyDescent="0.3">
      <c r="A97" s="33"/>
      <c r="B97" s="142"/>
      <c r="C97" s="143"/>
      <c r="D97" s="148"/>
      <c r="E97" s="149"/>
      <c r="F97" s="150"/>
      <c r="G97" s="52">
        <v>250</v>
      </c>
      <c r="H97" s="43" t="s">
        <v>29</v>
      </c>
      <c r="I97" s="148"/>
      <c r="J97" s="150"/>
      <c r="K97" s="206"/>
      <c r="L97" s="36"/>
      <c r="M97" s="33"/>
      <c r="N97" s="33"/>
      <c r="O97" s="33"/>
      <c r="P97" s="33"/>
    </row>
    <row r="98" spans="1:16" x14ac:dyDescent="0.3">
      <c r="A98" s="33"/>
      <c r="B98" s="140" t="s">
        <v>22</v>
      </c>
      <c r="C98" s="141"/>
      <c r="D98" s="146">
        <v>243</v>
      </c>
      <c r="E98" s="146"/>
      <c r="F98" s="174"/>
      <c r="G98" s="145">
        <v>237</v>
      </c>
      <c r="H98" s="147"/>
      <c r="I98" s="145">
        <v>240</v>
      </c>
      <c r="J98" s="147"/>
      <c r="K98" s="205">
        <v>0</v>
      </c>
      <c r="L98" s="36"/>
      <c r="M98" s="33"/>
      <c r="N98" s="33"/>
      <c r="O98" s="33"/>
      <c r="P98" s="33"/>
    </row>
    <row r="99" spans="1:16" x14ac:dyDescent="0.3">
      <c r="A99" s="33"/>
      <c r="B99" s="142"/>
      <c r="C99" s="143"/>
      <c r="D99" s="41">
        <v>150</v>
      </c>
      <c r="E99" s="42"/>
      <c r="F99" s="43" t="s">
        <v>29</v>
      </c>
      <c r="G99" s="148"/>
      <c r="H99" s="150"/>
      <c r="I99" s="148"/>
      <c r="J99" s="150"/>
      <c r="K99" s="206"/>
      <c r="L99" s="171"/>
      <c r="M99" s="33"/>
      <c r="N99" s="33"/>
      <c r="O99" s="33"/>
      <c r="P99" s="33"/>
    </row>
    <row r="100" spans="1:16" x14ac:dyDescent="0.3">
      <c r="A100" s="33"/>
      <c r="B100" s="117" t="s">
        <v>24</v>
      </c>
      <c r="C100" s="118"/>
      <c r="D100" s="151">
        <v>261</v>
      </c>
      <c r="E100" s="153"/>
      <c r="F100" s="154"/>
      <c r="G100" s="151">
        <v>255</v>
      </c>
      <c r="H100" s="152"/>
      <c r="I100" s="153">
        <v>252</v>
      </c>
      <c r="J100" s="152"/>
      <c r="K100" s="167">
        <v>0</v>
      </c>
      <c r="L100" s="171"/>
      <c r="M100" s="33"/>
      <c r="N100" s="33"/>
      <c r="O100" s="33"/>
      <c r="P100" s="33"/>
    </row>
    <row r="101" spans="1:16" x14ac:dyDescent="0.3">
      <c r="A101" s="33"/>
      <c r="B101" s="119"/>
      <c r="C101" s="120"/>
      <c r="D101" s="155"/>
      <c r="E101" s="138"/>
      <c r="F101" s="139"/>
      <c r="G101" s="45">
        <v>30</v>
      </c>
      <c r="H101" s="44" t="s">
        <v>29</v>
      </c>
      <c r="I101" s="50">
        <v>170</v>
      </c>
      <c r="J101" s="44" t="s">
        <v>29</v>
      </c>
      <c r="K101" s="168"/>
      <c r="L101" s="36"/>
      <c r="M101" s="33"/>
      <c r="N101" s="33"/>
      <c r="O101" s="33"/>
      <c r="P101" s="33"/>
    </row>
    <row r="102" spans="1:16" x14ac:dyDescent="0.3">
      <c r="A102" s="33"/>
      <c r="B102" s="113" t="s">
        <v>26</v>
      </c>
      <c r="C102" s="114"/>
      <c r="D102" s="115">
        <v>471</v>
      </c>
      <c r="E102" s="115"/>
      <c r="F102" s="116"/>
      <c r="G102" s="125">
        <v>468</v>
      </c>
      <c r="H102" s="126"/>
      <c r="I102" s="209">
        <v>474</v>
      </c>
      <c r="J102" s="210"/>
      <c r="K102" s="39">
        <v>140</v>
      </c>
      <c r="L102" s="171"/>
      <c r="M102" s="33"/>
      <c r="N102" s="33"/>
      <c r="O102" s="33"/>
      <c r="P102" s="33"/>
    </row>
    <row r="103" spans="1:16" x14ac:dyDescent="0.3">
      <c r="A103" s="33"/>
      <c r="B103" s="140" t="s">
        <v>28</v>
      </c>
      <c r="C103" s="141"/>
      <c r="D103" s="146">
        <v>84</v>
      </c>
      <c r="E103" s="146"/>
      <c r="F103" s="174"/>
      <c r="G103" s="145">
        <v>78</v>
      </c>
      <c r="H103" s="174"/>
      <c r="I103" s="145">
        <v>81</v>
      </c>
      <c r="J103" s="147"/>
      <c r="K103" s="178">
        <v>0</v>
      </c>
      <c r="L103" s="171"/>
      <c r="M103" s="33"/>
      <c r="N103" s="33"/>
      <c r="O103" s="33"/>
      <c r="P103" s="33"/>
    </row>
    <row r="104" spans="1:16" x14ac:dyDescent="0.3">
      <c r="A104" s="33"/>
      <c r="B104" s="142"/>
      <c r="C104" s="143"/>
      <c r="D104" s="41">
        <v>80</v>
      </c>
      <c r="E104" s="42"/>
      <c r="F104" s="43" t="s">
        <v>29</v>
      </c>
      <c r="G104" s="204"/>
      <c r="H104" s="187"/>
      <c r="I104" s="148"/>
      <c r="J104" s="150"/>
      <c r="K104" s="179"/>
      <c r="L104" s="216"/>
      <c r="M104" s="33"/>
      <c r="N104" s="33"/>
      <c r="O104" s="33"/>
      <c r="P104" s="33"/>
    </row>
    <row r="105" spans="1:16" x14ac:dyDescent="0.3">
      <c r="A105" s="33"/>
      <c r="B105" s="123" t="s">
        <v>12</v>
      </c>
      <c r="C105" s="124"/>
      <c r="D105" s="192">
        <v>120</v>
      </c>
      <c r="E105" s="192"/>
      <c r="F105" s="193"/>
      <c r="G105" s="188">
        <v>20</v>
      </c>
      <c r="H105" s="189"/>
      <c r="I105" s="192">
        <v>0</v>
      </c>
      <c r="J105" s="193"/>
      <c r="K105" s="40" t="s">
        <v>29</v>
      </c>
      <c r="L105" s="216"/>
      <c r="M105" s="33"/>
      <c r="N105" s="33"/>
      <c r="O105" s="33"/>
      <c r="P105" s="33"/>
    </row>
    <row r="106" spans="1:16" x14ac:dyDescent="0.3">
      <c r="A106" s="33"/>
      <c r="B106" s="33"/>
      <c r="C106" s="223"/>
      <c r="D106" s="223"/>
      <c r="E106" s="223"/>
      <c r="F106" s="171"/>
      <c r="G106" s="171"/>
      <c r="H106" s="171"/>
      <c r="I106" s="171"/>
      <c r="J106" s="171"/>
      <c r="K106" s="171"/>
      <c r="L106" s="36"/>
      <c r="M106" s="33"/>
      <c r="N106" s="33"/>
      <c r="O106" s="33"/>
      <c r="P106" s="33"/>
    </row>
    <row r="107" spans="1:16" x14ac:dyDescent="0.3">
      <c r="A107" s="33"/>
      <c r="B107" s="33"/>
      <c r="C107" s="33"/>
      <c r="D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</row>
    <row r="108" spans="1:16" x14ac:dyDescent="0.3">
      <c r="A108" s="33"/>
      <c r="B108" s="33"/>
      <c r="C108" s="33"/>
      <c r="D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 spans="1:16" x14ac:dyDescent="0.3">
      <c r="A109" s="33"/>
      <c r="B109" s="224" t="s">
        <v>14</v>
      </c>
      <c r="C109" s="225"/>
      <c r="D109" s="115" t="s">
        <v>15</v>
      </c>
      <c r="E109" s="115"/>
      <c r="F109" s="115"/>
      <c r="G109" s="115"/>
      <c r="H109" s="115"/>
      <c r="I109" s="115"/>
      <c r="J109" s="116"/>
      <c r="K109" s="228" t="s">
        <v>3</v>
      </c>
      <c r="L109" s="33"/>
      <c r="M109" s="33"/>
      <c r="N109" s="33"/>
      <c r="O109" s="33"/>
      <c r="P109" s="33"/>
    </row>
    <row r="110" spans="1:16" x14ac:dyDescent="0.3">
      <c r="A110" s="33"/>
      <c r="B110" s="226"/>
      <c r="C110" s="227"/>
      <c r="D110" s="115" t="s">
        <v>0</v>
      </c>
      <c r="E110" s="115"/>
      <c r="F110" s="116"/>
      <c r="G110" s="115" t="s">
        <v>17</v>
      </c>
      <c r="H110" s="116"/>
      <c r="I110" s="115" t="s">
        <v>2</v>
      </c>
      <c r="J110" s="116"/>
      <c r="K110" s="229"/>
      <c r="L110" s="33"/>
      <c r="M110" s="33"/>
      <c r="N110" s="33"/>
      <c r="O110" s="33"/>
      <c r="P110" s="33"/>
    </row>
    <row r="111" spans="1:16" x14ac:dyDescent="0.3">
      <c r="A111" s="33"/>
      <c r="B111" s="140" t="s">
        <v>18</v>
      </c>
      <c r="C111" s="141"/>
      <c r="D111" s="217">
        <v>162</v>
      </c>
      <c r="E111" s="218"/>
      <c r="F111" s="219"/>
      <c r="G111" s="217">
        <v>141</v>
      </c>
      <c r="H111" s="219"/>
      <c r="I111" s="146">
        <v>126</v>
      </c>
      <c r="J111" s="174"/>
      <c r="K111" s="178">
        <v>0</v>
      </c>
      <c r="L111" s="33"/>
      <c r="M111" s="33"/>
      <c r="N111" s="33"/>
      <c r="O111" s="33"/>
      <c r="P111" s="33"/>
    </row>
    <row r="112" spans="1:16" x14ac:dyDescent="0.3">
      <c r="A112" s="33"/>
      <c r="B112" s="142"/>
      <c r="C112" s="143"/>
      <c r="D112" s="220"/>
      <c r="E112" s="221"/>
      <c r="F112" s="222"/>
      <c r="G112" s="220"/>
      <c r="H112" s="222"/>
      <c r="I112" s="52">
        <v>180</v>
      </c>
      <c r="J112" s="43" t="s">
        <v>29</v>
      </c>
      <c r="K112" s="181"/>
      <c r="L112" s="33"/>
      <c r="M112" s="33"/>
      <c r="N112" s="33"/>
      <c r="O112" s="33"/>
      <c r="P112" s="33"/>
    </row>
    <row r="113" spans="1:16" x14ac:dyDescent="0.3">
      <c r="A113" s="33"/>
      <c r="B113" s="140" t="s">
        <v>20</v>
      </c>
      <c r="C113" s="141"/>
      <c r="D113" s="145">
        <v>267</v>
      </c>
      <c r="E113" s="146"/>
      <c r="F113" s="147"/>
      <c r="G113" s="146">
        <v>258</v>
      </c>
      <c r="H113" s="174"/>
      <c r="I113" s="145">
        <v>264</v>
      </c>
      <c r="J113" s="147"/>
      <c r="K113" s="205">
        <v>0</v>
      </c>
      <c r="L113" s="33"/>
      <c r="M113" s="33"/>
      <c r="N113" s="33"/>
      <c r="O113" s="33"/>
      <c r="P113" s="33"/>
    </row>
    <row r="114" spans="1:16" x14ac:dyDescent="0.3">
      <c r="A114" s="33"/>
      <c r="B114" s="142"/>
      <c r="C114" s="143"/>
      <c r="D114" s="148"/>
      <c r="E114" s="149"/>
      <c r="F114" s="150"/>
      <c r="G114" s="52">
        <v>250</v>
      </c>
      <c r="H114" s="43" t="s">
        <v>29</v>
      </c>
      <c r="I114" s="148"/>
      <c r="J114" s="150"/>
      <c r="K114" s="206"/>
      <c r="L114" s="33"/>
      <c r="M114" s="33"/>
      <c r="N114" s="33"/>
      <c r="O114" s="33"/>
      <c r="P114" s="33"/>
    </row>
    <row r="115" spans="1:16" x14ac:dyDescent="0.3">
      <c r="A115" s="33"/>
      <c r="B115" s="140" t="s">
        <v>22</v>
      </c>
      <c r="C115" s="141"/>
      <c r="D115" s="146">
        <v>243</v>
      </c>
      <c r="E115" s="146"/>
      <c r="F115" s="174"/>
      <c r="G115" s="217">
        <v>237</v>
      </c>
      <c r="H115" s="219"/>
      <c r="I115" s="217">
        <v>240</v>
      </c>
      <c r="J115" s="219"/>
      <c r="K115" s="205">
        <v>0</v>
      </c>
      <c r="L115" s="33"/>
      <c r="M115" s="33"/>
      <c r="N115" s="33"/>
      <c r="O115" s="33"/>
      <c r="P115" s="33"/>
    </row>
    <row r="116" spans="1:16" x14ac:dyDescent="0.3">
      <c r="A116" s="33"/>
      <c r="B116" s="142"/>
      <c r="C116" s="143"/>
      <c r="D116" s="41">
        <v>150</v>
      </c>
      <c r="E116" s="42"/>
      <c r="F116" s="43" t="s">
        <v>29</v>
      </c>
      <c r="G116" s="220"/>
      <c r="H116" s="222"/>
      <c r="I116" s="220"/>
      <c r="J116" s="222"/>
      <c r="K116" s="206"/>
      <c r="L116" s="33"/>
      <c r="M116" s="33"/>
      <c r="N116" s="33"/>
      <c r="O116" s="33"/>
      <c r="P116" s="33"/>
    </row>
    <row r="117" spans="1:16" x14ac:dyDescent="0.3">
      <c r="A117" s="33"/>
      <c r="B117" s="140" t="s">
        <v>24</v>
      </c>
      <c r="C117" s="141"/>
      <c r="D117" s="217">
        <v>261</v>
      </c>
      <c r="E117" s="218"/>
      <c r="F117" s="219"/>
      <c r="G117" s="145">
        <v>255</v>
      </c>
      <c r="H117" s="174"/>
      <c r="I117" s="146">
        <v>252</v>
      </c>
      <c r="J117" s="174"/>
      <c r="K117" s="178">
        <v>0</v>
      </c>
      <c r="L117" s="33"/>
      <c r="M117" s="33"/>
      <c r="N117" s="33"/>
      <c r="O117" s="33"/>
      <c r="P117" s="33"/>
    </row>
    <row r="118" spans="1:16" x14ac:dyDescent="0.3">
      <c r="A118" s="33"/>
      <c r="B118" s="142"/>
      <c r="C118" s="143"/>
      <c r="D118" s="220"/>
      <c r="E118" s="221"/>
      <c r="F118" s="222"/>
      <c r="G118" s="53">
        <v>30</v>
      </c>
      <c r="H118" s="46" t="s">
        <v>29</v>
      </c>
      <c r="I118" s="52">
        <v>170</v>
      </c>
      <c r="J118" s="43" t="s">
        <v>29</v>
      </c>
      <c r="K118" s="181"/>
      <c r="L118" s="33"/>
      <c r="M118" s="33"/>
      <c r="N118" s="33"/>
      <c r="O118" s="33"/>
      <c r="P118" s="33"/>
    </row>
    <row r="119" spans="1:16" x14ac:dyDescent="0.3">
      <c r="A119" s="33"/>
      <c r="B119" s="194" t="s">
        <v>26</v>
      </c>
      <c r="C119" s="230"/>
      <c r="D119" s="198">
        <v>471</v>
      </c>
      <c r="E119" s="185"/>
      <c r="F119" s="1"/>
      <c r="G119" s="161">
        <v>468</v>
      </c>
      <c r="H119" s="185"/>
      <c r="I119" s="146">
        <v>474</v>
      </c>
      <c r="J119" s="174"/>
      <c r="K119" s="233">
        <v>0</v>
      </c>
      <c r="L119" s="33"/>
      <c r="M119" s="33"/>
      <c r="N119" s="33"/>
      <c r="O119" s="33"/>
      <c r="P119" s="33"/>
    </row>
    <row r="120" spans="1:16" x14ac:dyDescent="0.3">
      <c r="A120" s="33"/>
      <c r="B120" s="231"/>
      <c r="C120" s="232"/>
      <c r="D120" s="54">
        <v>120</v>
      </c>
      <c r="E120" s="55"/>
      <c r="F120" s="39" t="s">
        <v>29</v>
      </c>
      <c r="G120" s="56">
        <v>20</v>
      </c>
      <c r="H120" s="39" t="s">
        <v>29</v>
      </c>
      <c r="I120" s="186"/>
      <c r="J120" s="187"/>
      <c r="K120" s="166"/>
      <c r="L120" s="33"/>
      <c r="M120" s="33"/>
      <c r="N120" s="33"/>
      <c r="O120" s="33"/>
      <c r="P120" s="33"/>
    </row>
    <row r="121" spans="1:16" x14ac:dyDescent="0.3">
      <c r="A121" s="33"/>
      <c r="B121" s="140" t="s">
        <v>28</v>
      </c>
      <c r="C121" s="141"/>
      <c r="D121" s="234">
        <v>84</v>
      </c>
      <c r="E121" s="234"/>
      <c r="F121" s="235"/>
      <c r="G121" s="236">
        <v>78</v>
      </c>
      <c r="H121" s="237"/>
      <c r="I121" s="217">
        <v>81</v>
      </c>
      <c r="J121" s="219"/>
      <c r="K121" s="178">
        <v>0</v>
      </c>
      <c r="L121" s="33"/>
      <c r="M121" s="33"/>
      <c r="N121" s="33"/>
      <c r="O121" s="33"/>
      <c r="P121" s="33"/>
    </row>
    <row r="122" spans="1:16" x14ac:dyDescent="0.3">
      <c r="A122" s="33"/>
      <c r="B122" s="142"/>
      <c r="C122" s="143"/>
      <c r="D122" s="41">
        <v>80</v>
      </c>
      <c r="E122" s="42"/>
      <c r="F122" s="43" t="s">
        <v>29</v>
      </c>
      <c r="G122" s="238"/>
      <c r="H122" s="239"/>
      <c r="I122" s="220"/>
      <c r="J122" s="222"/>
      <c r="K122" s="179"/>
      <c r="L122" s="33"/>
      <c r="M122" s="33"/>
      <c r="N122" s="33"/>
      <c r="O122" s="33"/>
      <c r="P122" s="33"/>
    </row>
    <row r="123" spans="1:16" x14ac:dyDescent="0.3">
      <c r="A123" s="33"/>
      <c r="B123" s="123" t="s">
        <v>12</v>
      </c>
      <c r="C123" s="124"/>
      <c r="D123" s="192">
        <v>350</v>
      </c>
      <c r="E123" s="192"/>
      <c r="F123" s="193"/>
      <c r="G123" s="115">
        <v>300</v>
      </c>
      <c r="H123" s="116"/>
      <c r="I123" s="192">
        <v>350</v>
      </c>
      <c r="J123" s="193"/>
      <c r="K123" s="40" t="s">
        <v>29</v>
      </c>
      <c r="L123" s="33"/>
      <c r="M123" s="33"/>
      <c r="N123" s="223"/>
      <c r="O123" s="33"/>
      <c r="P123" s="33"/>
    </row>
    <row r="124" spans="1:16" x14ac:dyDescent="0.3">
      <c r="A124" s="33"/>
      <c r="B124" s="33"/>
      <c r="C124" s="33"/>
      <c r="D124" s="33"/>
      <c r="F124" s="33"/>
      <c r="G124" s="33"/>
      <c r="H124" s="33"/>
      <c r="I124" s="33"/>
      <c r="J124" s="33"/>
      <c r="K124" s="33"/>
      <c r="L124" s="33"/>
      <c r="M124" s="33"/>
      <c r="N124" s="223"/>
      <c r="O124" s="33"/>
      <c r="P124" s="33"/>
    </row>
    <row r="125" spans="1:16" x14ac:dyDescent="0.3">
      <c r="A125" s="33"/>
      <c r="B125" s="33" t="s">
        <v>52</v>
      </c>
      <c r="C125" s="33">
        <v>246720</v>
      </c>
      <c r="D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</row>
    <row r="126" spans="1:16" x14ac:dyDescent="0.3">
      <c r="A126" s="33"/>
      <c r="B126" s="33"/>
      <c r="C126" s="33"/>
      <c r="D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</row>
    <row r="127" spans="1:16" x14ac:dyDescent="0.3">
      <c r="A127" s="33"/>
      <c r="B127" s="33"/>
      <c r="C127" s="33"/>
      <c r="D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</row>
    <row r="128" spans="1:16" x14ac:dyDescent="0.3">
      <c r="A128" s="33"/>
      <c r="B128" s="33"/>
      <c r="C128" s="171"/>
      <c r="D128" s="171"/>
      <c r="E128" s="171"/>
      <c r="F128" s="171"/>
      <c r="G128" s="171"/>
      <c r="H128" s="171"/>
      <c r="I128" s="171"/>
      <c r="J128" s="171"/>
      <c r="K128" s="171"/>
      <c r="L128" s="36"/>
      <c r="M128" s="33"/>
      <c r="N128" s="33"/>
      <c r="O128" s="33"/>
      <c r="P128" s="33"/>
    </row>
    <row r="129" spans="1:16" x14ac:dyDescent="0.3">
      <c r="A129" s="33"/>
      <c r="B129" s="33"/>
      <c r="C129" s="33"/>
      <c r="D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</row>
    <row r="130" spans="1:16" x14ac:dyDescent="0.3">
      <c r="A130" s="33"/>
      <c r="B130" s="33"/>
      <c r="C130" s="223"/>
      <c r="D130" s="223"/>
      <c r="E130" s="223"/>
      <c r="F130" s="223"/>
      <c r="G130" s="223"/>
      <c r="H130" s="223"/>
      <c r="I130" s="223"/>
      <c r="J130" s="33"/>
      <c r="K130" s="33"/>
      <c r="L130" s="33"/>
      <c r="M130" s="33"/>
      <c r="N130" s="33"/>
      <c r="O130" s="33"/>
      <c r="P130" s="33"/>
    </row>
    <row r="131" spans="1:16" x14ac:dyDescent="0.3">
      <c r="A131" s="33"/>
      <c r="B131" s="33"/>
      <c r="C131" s="33"/>
      <c r="D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</row>
    <row r="132" spans="1:16" x14ac:dyDescent="0.3">
      <c r="A132" s="33"/>
      <c r="B132" s="33"/>
      <c r="C132" s="33"/>
      <c r="D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</row>
    <row r="133" spans="1:16" x14ac:dyDescent="0.3">
      <c r="A133" s="33"/>
      <c r="B133" s="33"/>
      <c r="C133" s="33"/>
      <c r="D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</row>
  </sheetData>
  <mergeCells count="352">
    <mergeCell ref="C130:E130"/>
    <mergeCell ref="F130:G130"/>
    <mergeCell ref="H130:I130"/>
    <mergeCell ref="B123:C123"/>
    <mergeCell ref="D123:F123"/>
    <mergeCell ref="G123:H123"/>
    <mergeCell ref="I123:J123"/>
    <mergeCell ref="N123:N124"/>
    <mergeCell ref="C128:E128"/>
    <mergeCell ref="F128:G128"/>
    <mergeCell ref="J128:K128"/>
    <mergeCell ref="H128:I128"/>
    <mergeCell ref="B119:C120"/>
    <mergeCell ref="D119:E119"/>
    <mergeCell ref="G119:H119"/>
    <mergeCell ref="I119:J120"/>
    <mergeCell ref="K119:K120"/>
    <mergeCell ref="B121:C122"/>
    <mergeCell ref="D121:F121"/>
    <mergeCell ref="G121:H122"/>
    <mergeCell ref="I121:J122"/>
    <mergeCell ref="K121:K122"/>
    <mergeCell ref="B115:C116"/>
    <mergeCell ref="D115:F115"/>
    <mergeCell ref="G115:H116"/>
    <mergeCell ref="I115:J116"/>
    <mergeCell ref="K115:K116"/>
    <mergeCell ref="B117:C118"/>
    <mergeCell ref="D117:F118"/>
    <mergeCell ref="G117:H117"/>
    <mergeCell ref="I117:J117"/>
    <mergeCell ref="K117:K118"/>
    <mergeCell ref="K103:K104"/>
    <mergeCell ref="I110:J110"/>
    <mergeCell ref="B111:C112"/>
    <mergeCell ref="D111:F112"/>
    <mergeCell ref="G111:H112"/>
    <mergeCell ref="I111:J111"/>
    <mergeCell ref="K111:K112"/>
    <mergeCell ref="B113:C114"/>
    <mergeCell ref="D113:F114"/>
    <mergeCell ref="G113:H113"/>
    <mergeCell ref="I113:J114"/>
    <mergeCell ref="K113:K114"/>
    <mergeCell ref="C106:E106"/>
    <mergeCell ref="F106:G106"/>
    <mergeCell ref="H106:I106"/>
    <mergeCell ref="J106:K106"/>
    <mergeCell ref="B109:C110"/>
    <mergeCell ref="D109:J109"/>
    <mergeCell ref="K109:K110"/>
    <mergeCell ref="D110:F110"/>
    <mergeCell ref="G110:H110"/>
    <mergeCell ref="L104:L105"/>
    <mergeCell ref="B105:C105"/>
    <mergeCell ref="D105:F105"/>
    <mergeCell ref="G105:H105"/>
    <mergeCell ref="B98:C99"/>
    <mergeCell ref="D98:F98"/>
    <mergeCell ref="G98:H99"/>
    <mergeCell ref="I98:J99"/>
    <mergeCell ref="K98:K99"/>
    <mergeCell ref="L99:L100"/>
    <mergeCell ref="B100:C101"/>
    <mergeCell ref="D100:F101"/>
    <mergeCell ref="G100:H100"/>
    <mergeCell ref="I100:J100"/>
    <mergeCell ref="K100:K101"/>
    <mergeCell ref="D102:F102"/>
    <mergeCell ref="B102:C102"/>
    <mergeCell ref="G102:H102"/>
    <mergeCell ref="I102:J102"/>
    <mergeCell ref="I105:J105"/>
    <mergeCell ref="B103:C104"/>
    <mergeCell ref="D103:F103"/>
    <mergeCell ref="G103:H104"/>
    <mergeCell ref="I103:J104"/>
    <mergeCell ref="B94:C95"/>
    <mergeCell ref="D94:F95"/>
    <mergeCell ref="G94:H95"/>
    <mergeCell ref="I94:J94"/>
    <mergeCell ref="K94:K95"/>
    <mergeCell ref="B96:C97"/>
    <mergeCell ref="D96:F97"/>
    <mergeCell ref="G96:H96"/>
    <mergeCell ref="I96:J97"/>
    <mergeCell ref="K96:K97"/>
    <mergeCell ref="B92:C93"/>
    <mergeCell ref="D92:J92"/>
    <mergeCell ref="K92:K93"/>
    <mergeCell ref="D93:F93"/>
    <mergeCell ref="G93:H93"/>
    <mergeCell ref="I93:J93"/>
    <mergeCell ref="B87:C87"/>
    <mergeCell ref="D87:F87"/>
    <mergeCell ref="G87:H87"/>
    <mergeCell ref="I87:J87"/>
    <mergeCell ref="B89:C89"/>
    <mergeCell ref="D89:F89"/>
    <mergeCell ref="G89:H89"/>
    <mergeCell ref="K76:K77"/>
    <mergeCell ref="M76:M77"/>
    <mergeCell ref="B85:C86"/>
    <mergeCell ref="D85:F85"/>
    <mergeCell ref="G85:H86"/>
    <mergeCell ref="I85:J86"/>
    <mergeCell ref="K85:K86"/>
    <mergeCell ref="M85:M86"/>
    <mergeCell ref="K80:K81"/>
    <mergeCell ref="M80:M81"/>
    <mergeCell ref="B82:C83"/>
    <mergeCell ref="D82:F83"/>
    <mergeCell ref="G82:H83"/>
    <mergeCell ref="I82:J82"/>
    <mergeCell ref="K82:K83"/>
    <mergeCell ref="M82:M83"/>
    <mergeCell ref="B84:C84"/>
    <mergeCell ref="D84:F84"/>
    <mergeCell ref="G84:H84"/>
    <mergeCell ref="I84:J84"/>
    <mergeCell ref="B80:C81"/>
    <mergeCell ref="D80:F80"/>
    <mergeCell ref="G80:H81"/>
    <mergeCell ref="I80:J81"/>
    <mergeCell ref="B70:C70"/>
    <mergeCell ref="D70:F70"/>
    <mergeCell ref="G70:H70"/>
    <mergeCell ref="I70:J70"/>
    <mergeCell ref="B72:C72"/>
    <mergeCell ref="B76:C77"/>
    <mergeCell ref="D76:F77"/>
    <mergeCell ref="G76:H77"/>
    <mergeCell ref="I76:J76"/>
    <mergeCell ref="D68:F68"/>
    <mergeCell ref="G68:H69"/>
    <mergeCell ref="I68:J69"/>
    <mergeCell ref="M74:M75"/>
    <mergeCell ref="D75:F75"/>
    <mergeCell ref="G75:H75"/>
    <mergeCell ref="I75:J75"/>
    <mergeCell ref="K68:K69"/>
    <mergeCell ref="M68:M69"/>
    <mergeCell ref="M63:M64"/>
    <mergeCell ref="B65:C66"/>
    <mergeCell ref="D65:F66"/>
    <mergeCell ref="G65:H66"/>
    <mergeCell ref="I65:J65"/>
    <mergeCell ref="K65:K66"/>
    <mergeCell ref="M65:M66"/>
    <mergeCell ref="K58:K59"/>
    <mergeCell ref="M58:M59"/>
    <mergeCell ref="D59:F59"/>
    <mergeCell ref="G59:H59"/>
    <mergeCell ref="I59:J59"/>
    <mergeCell ref="K60:K61"/>
    <mergeCell ref="M60:M61"/>
    <mergeCell ref="B63:C64"/>
    <mergeCell ref="B54:C54"/>
    <mergeCell ref="D54:F54"/>
    <mergeCell ref="G54:H54"/>
    <mergeCell ref="I54:J54"/>
    <mergeCell ref="B58:C59"/>
    <mergeCell ref="D58:J58"/>
    <mergeCell ref="G51:H51"/>
    <mergeCell ref="I51:J51"/>
    <mergeCell ref="B52:C53"/>
    <mergeCell ref="D52:F52"/>
    <mergeCell ref="G52:H53"/>
    <mergeCell ref="I52:J53"/>
    <mergeCell ref="B43:C44"/>
    <mergeCell ref="G48:H49"/>
    <mergeCell ref="I48:J49"/>
    <mergeCell ref="K48:K49"/>
    <mergeCell ref="B51:C51"/>
    <mergeCell ref="D51:F51"/>
    <mergeCell ref="M48:M49"/>
    <mergeCell ref="B50:C50"/>
    <mergeCell ref="D50:F50"/>
    <mergeCell ref="G50:H50"/>
    <mergeCell ref="I50:J50"/>
    <mergeCell ref="B45:C46"/>
    <mergeCell ref="D45:F46"/>
    <mergeCell ref="G45:H46"/>
    <mergeCell ref="I45:J45"/>
    <mergeCell ref="B48:C49"/>
    <mergeCell ref="D48:F48"/>
    <mergeCell ref="B47:C47"/>
    <mergeCell ref="D47:F47"/>
    <mergeCell ref="G47:H47"/>
    <mergeCell ref="I47:J47"/>
    <mergeCell ref="K29:K30"/>
    <mergeCell ref="D30:F30"/>
    <mergeCell ref="G30:H30"/>
    <mergeCell ref="I30:J30"/>
    <mergeCell ref="K37:K38"/>
    <mergeCell ref="M37:M38"/>
    <mergeCell ref="B39:C39"/>
    <mergeCell ref="D39:F39"/>
    <mergeCell ref="G39:H39"/>
    <mergeCell ref="I39:J39"/>
    <mergeCell ref="B36:C36"/>
    <mergeCell ref="D36:F36"/>
    <mergeCell ref="G36:H36"/>
    <mergeCell ref="I36:J36"/>
    <mergeCell ref="B37:C38"/>
    <mergeCell ref="D37:F37"/>
    <mergeCell ref="G37:H38"/>
    <mergeCell ref="I37:J38"/>
    <mergeCell ref="D31:F32"/>
    <mergeCell ref="I31:J31"/>
    <mergeCell ref="M29:M30"/>
    <mergeCell ref="G31:H32"/>
    <mergeCell ref="K31:K32"/>
    <mergeCell ref="M31:M32"/>
    <mergeCell ref="B19:C19"/>
    <mergeCell ref="D19:F19"/>
    <mergeCell ref="G19:H19"/>
    <mergeCell ref="I19:J19"/>
    <mergeCell ref="D18:F18"/>
    <mergeCell ref="B18:C18"/>
    <mergeCell ref="B22:C23"/>
    <mergeCell ref="D22:F22"/>
    <mergeCell ref="G22:H23"/>
    <mergeCell ref="I22:J23"/>
    <mergeCell ref="G18:H18"/>
    <mergeCell ref="I18:J18"/>
    <mergeCell ref="B10:C10"/>
    <mergeCell ref="D10:F10"/>
    <mergeCell ref="G10:H10"/>
    <mergeCell ref="I10:J10"/>
    <mergeCell ref="B12:C12"/>
    <mergeCell ref="D12:F12"/>
    <mergeCell ref="G12:H12"/>
    <mergeCell ref="I12:J12"/>
    <mergeCell ref="D15:J15"/>
    <mergeCell ref="B15:C16"/>
    <mergeCell ref="B5:C5"/>
    <mergeCell ref="D5:F5"/>
    <mergeCell ref="G5:H5"/>
    <mergeCell ref="I5:J5"/>
    <mergeCell ref="B2:C3"/>
    <mergeCell ref="D2:J2"/>
    <mergeCell ref="K2:K3"/>
    <mergeCell ref="B4:C4"/>
    <mergeCell ref="D4:F4"/>
    <mergeCell ref="B7:C7"/>
    <mergeCell ref="D7:F7"/>
    <mergeCell ref="G7:H7"/>
    <mergeCell ref="I7:J7"/>
    <mergeCell ref="B8:C8"/>
    <mergeCell ref="D8:F8"/>
    <mergeCell ref="G8:H8"/>
    <mergeCell ref="I8:J8"/>
    <mergeCell ref="B6:C6"/>
    <mergeCell ref="D6:F6"/>
    <mergeCell ref="G6:H6"/>
    <mergeCell ref="K78:K79"/>
    <mergeCell ref="M78:M79"/>
    <mergeCell ref="K74:K75"/>
    <mergeCell ref="L102:L103"/>
    <mergeCell ref="D43:J43"/>
    <mergeCell ref="D34:F34"/>
    <mergeCell ref="G34:H34"/>
    <mergeCell ref="I34:J34"/>
    <mergeCell ref="I62:J62"/>
    <mergeCell ref="D63:F63"/>
    <mergeCell ref="G63:H64"/>
    <mergeCell ref="I63:J64"/>
    <mergeCell ref="D72:F72"/>
    <mergeCell ref="K45:K46"/>
    <mergeCell ref="K43:K44"/>
    <mergeCell ref="M43:M44"/>
    <mergeCell ref="M45:M46"/>
    <mergeCell ref="G41:H41"/>
    <mergeCell ref="D44:F44"/>
    <mergeCell ref="G44:H44"/>
    <mergeCell ref="I44:J44"/>
    <mergeCell ref="K52:K53"/>
    <mergeCell ref="M52:M53"/>
    <mergeCell ref="K63:K64"/>
    <mergeCell ref="M2:M3"/>
    <mergeCell ref="D3:F3"/>
    <mergeCell ref="G3:H3"/>
    <mergeCell ref="I3:J3"/>
    <mergeCell ref="D16:F16"/>
    <mergeCell ref="D17:F17"/>
    <mergeCell ref="D9:F9"/>
    <mergeCell ref="D21:F21"/>
    <mergeCell ref="K22:K23"/>
    <mergeCell ref="G4:H4"/>
    <mergeCell ref="I4:J4"/>
    <mergeCell ref="I6:J6"/>
    <mergeCell ref="M15:M16"/>
    <mergeCell ref="G16:H16"/>
    <mergeCell ref="I16:J16"/>
    <mergeCell ref="G17:H17"/>
    <mergeCell ref="I17:J17"/>
    <mergeCell ref="I9:J9"/>
    <mergeCell ref="K15:K16"/>
    <mergeCell ref="G9:H9"/>
    <mergeCell ref="G20:H20"/>
    <mergeCell ref="I20:J20"/>
    <mergeCell ref="G21:H21"/>
    <mergeCell ref="I21:J21"/>
    <mergeCell ref="B78:C79"/>
    <mergeCell ref="B67:C67"/>
    <mergeCell ref="G67:H67"/>
    <mergeCell ref="I67:J67"/>
    <mergeCell ref="B68:C69"/>
    <mergeCell ref="B60:C61"/>
    <mergeCell ref="B56:C56"/>
    <mergeCell ref="D56:F56"/>
    <mergeCell ref="G56:H56"/>
    <mergeCell ref="I56:J56"/>
    <mergeCell ref="D67:F67"/>
    <mergeCell ref="D60:F61"/>
    <mergeCell ref="G60:H61"/>
    <mergeCell ref="I60:J60"/>
    <mergeCell ref="B62:C62"/>
    <mergeCell ref="D62:F62"/>
    <mergeCell ref="G62:H62"/>
    <mergeCell ref="D78:F79"/>
    <mergeCell ref="G78:H78"/>
    <mergeCell ref="I78:J79"/>
    <mergeCell ref="G72:H72"/>
    <mergeCell ref="I72:J72"/>
    <mergeCell ref="B74:C75"/>
    <mergeCell ref="D74:J74"/>
    <mergeCell ref="B35:C35"/>
    <mergeCell ref="D35:F35"/>
    <mergeCell ref="G35:H35"/>
    <mergeCell ref="I35:J35"/>
    <mergeCell ref="B31:C32"/>
    <mergeCell ref="B20:C20"/>
    <mergeCell ref="D20:F20"/>
    <mergeCell ref="I41:J41"/>
    <mergeCell ref="B21:C21"/>
    <mergeCell ref="B24:C24"/>
    <mergeCell ref="B33:C33"/>
    <mergeCell ref="I33:J33"/>
    <mergeCell ref="B26:C26"/>
    <mergeCell ref="D26:F26"/>
    <mergeCell ref="G26:H26"/>
    <mergeCell ref="B29:C30"/>
    <mergeCell ref="D29:J29"/>
    <mergeCell ref="D24:F24"/>
    <mergeCell ref="G24:H24"/>
    <mergeCell ref="I24:J24"/>
    <mergeCell ref="D33:F33"/>
    <mergeCell ref="G33:H33"/>
    <mergeCell ref="B41:C41"/>
    <mergeCell ref="D41:F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910B-1955-425D-8DF6-4633E8F18327}">
  <dimension ref="A1:N13"/>
  <sheetViews>
    <sheetView workbookViewId="0">
      <selection activeCell="H19" sqref="H19"/>
    </sheetView>
  </sheetViews>
  <sheetFormatPr defaultRowHeight="14.4" x14ac:dyDescent="0.3"/>
  <cols>
    <col min="3" max="3" width="16.77734375" customWidth="1"/>
    <col min="4" max="4" width="16.5546875" customWidth="1"/>
    <col min="5" max="5" width="15.77734375" customWidth="1"/>
    <col min="12" max="12" width="14.5546875" bestFit="1" customWidth="1"/>
    <col min="13" max="13" width="14.21875" bestFit="1" customWidth="1"/>
    <col min="14" max="14" width="12.5546875" customWidth="1"/>
  </cols>
  <sheetData>
    <row r="1" spans="1:14" x14ac:dyDescent="0.3">
      <c r="A1" s="2" t="s">
        <v>53</v>
      </c>
    </row>
    <row r="3" spans="1:14" x14ac:dyDescent="0.3">
      <c r="A3" s="3"/>
      <c r="B3" s="4"/>
      <c r="C3" s="244" t="s">
        <v>15</v>
      </c>
      <c r="D3" s="250"/>
      <c r="E3" s="250"/>
      <c r="F3" s="7"/>
      <c r="G3" s="7" t="s">
        <v>54</v>
      </c>
      <c r="J3" s="2" t="s">
        <v>55</v>
      </c>
      <c r="K3" s="2"/>
      <c r="L3" s="2"/>
      <c r="M3" s="2"/>
      <c r="N3" s="2"/>
    </row>
    <row r="4" spans="1:14" x14ac:dyDescent="0.3">
      <c r="A4" s="251" t="s">
        <v>14</v>
      </c>
      <c r="B4" s="252"/>
      <c r="C4" s="5" t="s">
        <v>0</v>
      </c>
      <c r="D4" s="6" t="s">
        <v>1</v>
      </c>
      <c r="E4" s="6" t="s">
        <v>2</v>
      </c>
      <c r="F4" s="8" t="s">
        <v>3</v>
      </c>
      <c r="G4" s="9" t="s">
        <v>56</v>
      </c>
      <c r="J4" s="253" t="s">
        <v>14</v>
      </c>
      <c r="K4" s="254"/>
      <c r="L4" s="244" t="s">
        <v>15</v>
      </c>
      <c r="M4" s="250"/>
      <c r="N4" s="245"/>
    </row>
    <row r="5" spans="1:14" ht="14.55" customHeight="1" x14ac:dyDescent="0.3">
      <c r="A5" s="242" t="s">
        <v>18</v>
      </c>
      <c r="B5" s="243"/>
      <c r="C5" s="12">
        <v>0</v>
      </c>
      <c r="D5" s="12">
        <v>0</v>
      </c>
      <c r="E5" s="12">
        <v>180</v>
      </c>
      <c r="F5" s="10">
        <v>180</v>
      </c>
      <c r="G5" s="11">
        <f>SUM(C5:E5)</f>
        <v>180</v>
      </c>
      <c r="J5" s="251"/>
      <c r="K5" s="252"/>
      <c r="L5" s="5" t="s">
        <v>0</v>
      </c>
      <c r="M5" s="16" t="s">
        <v>17</v>
      </c>
      <c r="N5" s="16" t="s">
        <v>2</v>
      </c>
    </row>
    <row r="6" spans="1:14" x14ac:dyDescent="0.3">
      <c r="A6" s="240" t="s">
        <v>20</v>
      </c>
      <c r="B6" s="241"/>
      <c r="C6" s="12">
        <v>0</v>
      </c>
      <c r="D6" s="12">
        <v>250</v>
      </c>
      <c r="E6" s="12">
        <v>0</v>
      </c>
      <c r="F6" s="10">
        <v>250</v>
      </c>
      <c r="G6" s="11">
        <f>SUM(C6:E6)</f>
        <v>250</v>
      </c>
      <c r="J6" s="242" t="s">
        <v>18</v>
      </c>
      <c r="K6" s="243"/>
      <c r="L6" s="10">
        <v>162</v>
      </c>
      <c r="M6" s="10">
        <v>141</v>
      </c>
      <c r="N6" s="10">
        <v>126</v>
      </c>
    </row>
    <row r="7" spans="1:14" ht="14.55" customHeight="1" x14ac:dyDescent="0.3">
      <c r="A7" s="240" t="s">
        <v>22</v>
      </c>
      <c r="B7" s="241"/>
      <c r="C7" s="12">
        <v>130</v>
      </c>
      <c r="D7" s="12">
        <v>20</v>
      </c>
      <c r="E7" s="12">
        <v>0</v>
      </c>
      <c r="F7" s="10">
        <v>150</v>
      </c>
      <c r="G7" s="11">
        <f>SUM(C7:E7)</f>
        <v>150</v>
      </c>
      <c r="J7" s="240" t="s">
        <v>20</v>
      </c>
      <c r="K7" s="241"/>
      <c r="L7" s="10">
        <v>267</v>
      </c>
      <c r="M7" s="10">
        <v>258</v>
      </c>
      <c r="N7" s="10">
        <v>264</v>
      </c>
    </row>
    <row r="8" spans="1:14" x14ac:dyDescent="0.3">
      <c r="A8" s="240" t="s">
        <v>24</v>
      </c>
      <c r="B8" s="241"/>
      <c r="C8" s="12">
        <v>0</v>
      </c>
      <c r="D8" s="12">
        <v>30</v>
      </c>
      <c r="E8" s="12">
        <v>170</v>
      </c>
      <c r="F8" s="10">
        <v>200</v>
      </c>
      <c r="G8" s="11">
        <f t="shared" ref="G6:G10" si="0">SUM(C8:E8)</f>
        <v>200</v>
      </c>
      <c r="J8" s="240" t="s">
        <v>22</v>
      </c>
      <c r="K8" s="241"/>
      <c r="L8" s="10">
        <v>243</v>
      </c>
      <c r="M8" s="10">
        <v>237</v>
      </c>
      <c r="N8" s="10">
        <v>240</v>
      </c>
    </row>
    <row r="9" spans="1:14" ht="14.55" customHeight="1" x14ac:dyDescent="0.3">
      <c r="A9" s="240" t="s">
        <v>26</v>
      </c>
      <c r="B9" s="241"/>
      <c r="C9" s="12">
        <v>140</v>
      </c>
      <c r="D9" s="12">
        <v>0</v>
      </c>
      <c r="E9" s="12">
        <v>0</v>
      </c>
      <c r="F9" s="10">
        <v>140</v>
      </c>
      <c r="G9" s="11">
        <f t="shared" si="0"/>
        <v>140</v>
      </c>
      <c r="J9" s="240" t="s">
        <v>24</v>
      </c>
      <c r="K9" s="241"/>
      <c r="L9" s="10">
        <v>261</v>
      </c>
      <c r="M9" s="10">
        <v>255</v>
      </c>
      <c r="N9" s="10">
        <v>252</v>
      </c>
    </row>
    <row r="10" spans="1:14" x14ac:dyDescent="0.3">
      <c r="A10" s="240" t="s">
        <v>28</v>
      </c>
      <c r="B10" s="241"/>
      <c r="C10" s="12">
        <v>80</v>
      </c>
      <c r="D10" s="12">
        <v>0</v>
      </c>
      <c r="E10" s="12">
        <v>0</v>
      </c>
      <c r="F10" s="10">
        <v>80</v>
      </c>
      <c r="G10" s="11">
        <f t="shared" si="0"/>
        <v>80</v>
      </c>
      <c r="J10" s="240" t="s">
        <v>26</v>
      </c>
      <c r="K10" s="241"/>
      <c r="L10" s="10">
        <v>471</v>
      </c>
      <c r="M10" s="10">
        <v>468</v>
      </c>
      <c r="N10" s="10">
        <v>474</v>
      </c>
    </row>
    <row r="11" spans="1:14" ht="14.55" customHeight="1" x14ac:dyDescent="0.3">
      <c r="A11" s="246" t="s">
        <v>12</v>
      </c>
      <c r="B11" s="247"/>
      <c r="C11" s="13">
        <v>350</v>
      </c>
      <c r="D11" s="10">
        <v>300</v>
      </c>
      <c r="E11" s="14">
        <v>350</v>
      </c>
      <c r="F11" s="10">
        <f>SUM(F5:F10)</f>
        <v>1000</v>
      </c>
      <c r="G11" s="15"/>
      <c r="J11" s="248" t="s">
        <v>28</v>
      </c>
      <c r="K11" s="249"/>
      <c r="L11" s="10">
        <v>84</v>
      </c>
      <c r="M11" s="10">
        <v>78</v>
      </c>
      <c r="N11" s="10">
        <v>81</v>
      </c>
    </row>
    <row r="12" spans="1:14" x14ac:dyDescent="0.3">
      <c r="A12" s="248" t="s">
        <v>57</v>
      </c>
      <c r="B12" s="249"/>
      <c r="C12" s="11">
        <f>SUM(C5:C10)</f>
        <v>350</v>
      </c>
      <c r="D12" s="11">
        <f>SUM(D5:D10)</f>
        <v>300</v>
      </c>
      <c r="E12" s="11">
        <f>SUM(E5:E10)</f>
        <v>350</v>
      </c>
      <c r="F12" s="1"/>
      <c r="G12" s="1"/>
    </row>
    <row r="13" spans="1:14" ht="14.55" customHeight="1" x14ac:dyDescent="0.3">
      <c r="A13" s="244" t="s">
        <v>58</v>
      </c>
      <c r="B13" s="245"/>
      <c r="C13" s="15">
        <f>SUMPRODUCT(C5:E10,L6:N11)</f>
        <v>246660</v>
      </c>
      <c r="D13" s="1"/>
      <c r="E13" s="1"/>
      <c r="F13" s="1"/>
      <c r="G13" s="1"/>
      <c r="L13" s="17"/>
    </row>
  </sheetData>
  <mergeCells count="19">
    <mergeCell ref="C3:E3"/>
    <mergeCell ref="A4:B4"/>
    <mergeCell ref="J4:K5"/>
    <mergeCell ref="L4:N4"/>
    <mergeCell ref="A5:B5"/>
    <mergeCell ref="A6:B6"/>
    <mergeCell ref="J6:K6"/>
    <mergeCell ref="A13:B13"/>
    <mergeCell ref="A8:B8"/>
    <mergeCell ref="A9:B9"/>
    <mergeCell ref="A10:B10"/>
    <mergeCell ref="J8:K8"/>
    <mergeCell ref="J9:K9"/>
    <mergeCell ref="J10:K10"/>
    <mergeCell ref="A11:B11"/>
    <mergeCell ref="J11:K11"/>
    <mergeCell ref="A12:B12"/>
    <mergeCell ref="A7:B7"/>
    <mergeCell ref="J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A89A-CD95-4F32-A32C-B311135DB852}">
  <dimension ref="A1:N16"/>
  <sheetViews>
    <sheetView workbookViewId="0">
      <selection activeCell="C14" sqref="C14"/>
    </sheetView>
  </sheetViews>
  <sheetFormatPr defaultRowHeight="14.4" x14ac:dyDescent="0.3"/>
  <cols>
    <col min="3" max="3" width="16.77734375" customWidth="1"/>
    <col min="4" max="4" width="16.5546875" customWidth="1"/>
    <col min="5" max="5" width="15.77734375" customWidth="1"/>
    <col min="12" max="12" width="14.5546875" bestFit="1" customWidth="1"/>
    <col min="13" max="13" width="14.21875" bestFit="1" customWidth="1"/>
    <col min="14" max="14" width="12.5546875" customWidth="1"/>
  </cols>
  <sheetData>
    <row r="1" spans="1:14" x14ac:dyDescent="0.3">
      <c r="A1" s="2" t="s">
        <v>62</v>
      </c>
    </row>
    <row r="2" spans="1:14" x14ac:dyDescent="0.3">
      <c r="A2" s="2"/>
    </row>
    <row r="3" spans="1:14" x14ac:dyDescent="0.3">
      <c r="A3" s="2"/>
      <c r="J3" t="s">
        <v>63</v>
      </c>
    </row>
    <row r="5" spans="1:14" x14ac:dyDescent="0.3">
      <c r="A5" s="3"/>
      <c r="B5" s="4"/>
      <c r="C5" s="244" t="s">
        <v>15</v>
      </c>
      <c r="D5" s="250"/>
      <c r="E5" s="250"/>
      <c r="F5" s="7"/>
      <c r="G5" s="7" t="s">
        <v>54</v>
      </c>
      <c r="J5" s="2" t="s">
        <v>55</v>
      </c>
      <c r="K5" s="2"/>
      <c r="L5" s="2"/>
      <c r="M5" s="2"/>
      <c r="N5" s="2"/>
    </row>
    <row r="6" spans="1:14" x14ac:dyDescent="0.3">
      <c r="A6" s="251" t="s">
        <v>14</v>
      </c>
      <c r="B6" s="252"/>
      <c r="C6" s="77" t="s">
        <v>0</v>
      </c>
      <c r="D6" s="77" t="s">
        <v>1</v>
      </c>
      <c r="E6" s="77" t="s">
        <v>2</v>
      </c>
      <c r="F6" s="8" t="s">
        <v>3</v>
      </c>
      <c r="G6" s="9" t="s">
        <v>56</v>
      </c>
      <c r="J6" s="253" t="s">
        <v>14</v>
      </c>
      <c r="K6" s="254"/>
      <c r="L6" s="244" t="s">
        <v>15</v>
      </c>
      <c r="M6" s="250"/>
      <c r="N6" s="245"/>
    </row>
    <row r="7" spans="1:14" ht="14.55" customHeight="1" x14ac:dyDescent="0.3">
      <c r="A7" s="242" t="s">
        <v>18</v>
      </c>
      <c r="B7" s="243"/>
      <c r="C7" s="12">
        <v>0</v>
      </c>
      <c r="D7" s="12">
        <v>0</v>
      </c>
      <c r="E7" s="12">
        <v>180</v>
      </c>
      <c r="F7" s="10">
        <v>180</v>
      </c>
      <c r="G7" s="11">
        <f>SUM(C7:E7)</f>
        <v>180</v>
      </c>
      <c r="J7" s="251"/>
      <c r="K7" s="252"/>
      <c r="L7" s="5" t="s">
        <v>0</v>
      </c>
      <c r="M7" s="16" t="s">
        <v>17</v>
      </c>
      <c r="N7" s="16" t="s">
        <v>2</v>
      </c>
    </row>
    <row r="8" spans="1:14" x14ac:dyDescent="0.3">
      <c r="A8" s="240" t="s">
        <v>20</v>
      </c>
      <c r="B8" s="241"/>
      <c r="C8" s="12">
        <v>0</v>
      </c>
      <c r="D8" s="12">
        <v>250</v>
      </c>
      <c r="E8" s="12">
        <v>0</v>
      </c>
      <c r="F8" s="10">
        <v>250</v>
      </c>
      <c r="G8" s="11">
        <f t="shared" ref="G7:G13" si="0">SUM(C8:E8)</f>
        <v>250</v>
      </c>
      <c r="J8" s="242" t="s">
        <v>18</v>
      </c>
      <c r="K8" s="243"/>
      <c r="L8" s="10">
        <v>162</v>
      </c>
      <c r="M8" s="10">
        <v>141</v>
      </c>
      <c r="N8" s="10">
        <v>126</v>
      </c>
    </row>
    <row r="9" spans="1:14" ht="14.55" customHeight="1" x14ac:dyDescent="0.3">
      <c r="A9" s="240" t="s">
        <v>22</v>
      </c>
      <c r="B9" s="241"/>
      <c r="C9" s="12">
        <v>0</v>
      </c>
      <c r="D9" s="12">
        <v>150</v>
      </c>
      <c r="E9" s="12">
        <v>0</v>
      </c>
      <c r="F9" s="10">
        <v>150</v>
      </c>
      <c r="G9" s="11">
        <f t="shared" si="0"/>
        <v>150</v>
      </c>
      <c r="J9" s="240" t="s">
        <v>20</v>
      </c>
      <c r="K9" s="241"/>
      <c r="L9" s="10">
        <v>267</v>
      </c>
      <c r="M9" s="10">
        <v>258</v>
      </c>
      <c r="N9" s="10">
        <v>264</v>
      </c>
    </row>
    <row r="10" spans="1:14" x14ac:dyDescent="0.3">
      <c r="A10" s="240" t="s">
        <v>24</v>
      </c>
      <c r="B10" s="241"/>
      <c r="C10" s="12">
        <v>30</v>
      </c>
      <c r="D10" s="12">
        <v>0</v>
      </c>
      <c r="E10" s="12">
        <v>170</v>
      </c>
      <c r="F10" s="10">
        <v>200</v>
      </c>
      <c r="G10" s="11">
        <f t="shared" si="0"/>
        <v>200</v>
      </c>
      <c r="J10" s="240" t="s">
        <v>22</v>
      </c>
      <c r="K10" s="241"/>
      <c r="L10" s="10">
        <v>243</v>
      </c>
      <c r="M10" s="10">
        <v>237</v>
      </c>
      <c r="N10" s="10">
        <v>240</v>
      </c>
    </row>
    <row r="11" spans="1:14" ht="14.55" customHeight="1" x14ac:dyDescent="0.3">
      <c r="A11" s="240" t="s">
        <v>26</v>
      </c>
      <c r="B11" s="241"/>
      <c r="C11" s="12">
        <v>140</v>
      </c>
      <c r="D11" s="12">
        <v>0</v>
      </c>
      <c r="E11" s="12">
        <v>0</v>
      </c>
      <c r="F11" s="10">
        <v>140</v>
      </c>
      <c r="G11" s="11">
        <f t="shared" si="0"/>
        <v>140</v>
      </c>
      <c r="J11" s="240" t="s">
        <v>24</v>
      </c>
      <c r="K11" s="241"/>
      <c r="L11" s="10">
        <v>261</v>
      </c>
      <c r="M11" s="10">
        <v>255</v>
      </c>
      <c r="N11" s="10">
        <v>252</v>
      </c>
    </row>
    <row r="12" spans="1:14" x14ac:dyDescent="0.3">
      <c r="A12" s="240" t="s">
        <v>28</v>
      </c>
      <c r="B12" s="241"/>
      <c r="C12" s="12">
        <v>80</v>
      </c>
      <c r="D12" s="12">
        <v>0</v>
      </c>
      <c r="E12" s="12">
        <v>0</v>
      </c>
      <c r="F12" s="10">
        <v>80</v>
      </c>
      <c r="G12" s="11">
        <f t="shared" si="0"/>
        <v>80</v>
      </c>
      <c r="J12" s="240" t="s">
        <v>26</v>
      </c>
      <c r="K12" s="241"/>
      <c r="L12" s="10">
        <v>471</v>
      </c>
      <c r="M12" s="10">
        <v>468</v>
      </c>
      <c r="N12" s="10">
        <v>474</v>
      </c>
    </row>
    <row r="13" spans="1:14" x14ac:dyDescent="0.3">
      <c r="A13" s="240" t="s">
        <v>61</v>
      </c>
      <c r="B13" s="241"/>
      <c r="C13" s="12">
        <v>100</v>
      </c>
      <c r="D13" s="12">
        <v>0</v>
      </c>
      <c r="E13" s="12">
        <v>0</v>
      </c>
      <c r="F13" s="10">
        <v>100</v>
      </c>
      <c r="G13" s="11">
        <f t="shared" si="0"/>
        <v>100</v>
      </c>
      <c r="J13" s="240" t="s">
        <v>28</v>
      </c>
      <c r="K13" s="241"/>
      <c r="L13" s="10">
        <v>84</v>
      </c>
      <c r="M13" s="10">
        <v>78</v>
      </c>
      <c r="N13" s="10">
        <v>81</v>
      </c>
    </row>
    <row r="14" spans="1:14" ht="14.55" customHeight="1" x14ac:dyDescent="0.3">
      <c r="A14" s="246" t="s">
        <v>12</v>
      </c>
      <c r="B14" s="247"/>
      <c r="C14" s="13">
        <v>350</v>
      </c>
      <c r="D14" s="10">
        <v>400</v>
      </c>
      <c r="E14" s="14">
        <v>350</v>
      </c>
      <c r="F14" s="10">
        <f>SUM(F7:F13)</f>
        <v>1100</v>
      </c>
      <c r="G14" s="15"/>
      <c r="J14" s="255" t="s">
        <v>61</v>
      </c>
      <c r="K14" s="255"/>
      <c r="L14" s="78">
        <v>600</v>
      </c>
      <c r="M14" s="78">
        <v>600</v>
      </c>
      <c r="N14" s="78">
        <v>600</v>
      </c>
    </row>
    <row r="15" spans="1:14" x14ac:dyDescent="0.3">
      <c r="A15" s="248" t="s">
        <v>57</v>
      </c>
      <c r="B15" s="249"/>
      <c r="C15" s="11">
        <f>SUM(C7:C13)</f>
        <v>350</v>
      </c>
      <c r="D15" s="11">
        <f>SUM(D7:D13)</f>
        <v>400</v>
      </c>
      <c r="E15" s="11">
        <f>SUM(E7:E13)</f>
        <v>350</v>
      </c>
      <c r="F15" s="1"/>
      <c r="G15" s="1"/>
    </row>
    <row r="16" spans="1:14" ht="14.55" customHeight="1" x14ac:dyDescent="0.3">
      <c r="A16" s="244" t="s">
        <v>58</v>
      </c>
      <c r="B16" s="245"/>
      <c r="C16" s="15">
        <f>SUMPRODUCT(C7:E13,L8:N14)</f>
        <v>306060</v>
      </c>
      <c r="D16" s="1"/>
      <c r="E16" s="1"/>
      <c r="F16" s="1"/>
      <c r="G16" s="1"/>
    </row>
  </sheetData>
  <mergeCells count="21">
    <mergeCell ref="A8:B8"/>
    <mergeCell ref="J8:K8"/>
    <mergeCell ref="A16:B16"/>
    <mergeCell ref="A13:B13"/>
    <mergeCell ref="J14:K14"/>
    <mergeCell ref="A9:B9"/>
    <mergeCell ref="J9:K9"/>
    <mergeCell ref="A10:B10"/>
    <mergeCell ref="J10:K10"/>
    <mergeCell ref="A11:B11"/>
    <mergeCell ref="J11:K11"/>
    <mergeCell ref="A12:B12"/>
    <mergeCell ref="J12:K12"/>
    <mergeCell ref="A14:B14"/>
    <mergeCell ref="J13:K13"/>
    <mergeCell ref="A15:B15"/>
    <mergeCell ref="C5:E5"/>
    <mergeCell ref="A6:B6"/>
    <mergeCell ref="J6:K7"/>
    <mergeCell ref="L6:N6"/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293C-545B-4A2B-99F5-92B389BC6CF0}">
  <dimension ref="A1:N16"/>
  <sheetViews>
    <sheetView workbookViewId="0">
      <selection activeCell="L17" sqref="L17"/>
    </sheetView>
  </sheetViews>
  <sheetFormatPr defaultRowHeight="14.4" x14ac:dyDescent="0.3"/>
  <cols>
    <col min="3" max="3" width="16.77734375" customWidth="1"/>
    <col min="4" max="4" width="16.5546875" customWidth="1"/>
    <col min="5" max="5" width="15.77734375" customWidth="1"/>
    <col min="12" max="12" width="14.5546875" bestFit="1" customWidth="1"/>
    <col min="13" max="13" width="14.21875" bestFit="1" customWidth="1"/>
    <col min="14" max="14" width="12.5546875" customWidth="1"/>
  </cols>
  <sheetData>
    <row r="1" spans="1:14" x14ac:dyDescent="0.3">
      <c r="A1" s="2" t="s">
        <v>71</v>
      </c>
    </row>
    <row r="2" spans="1:14" x14ac:dyDescent="0.3">
      <c r="A2" s="2"/>
    </row>
    <row r="3" spans="1:14" x14ac:dyDescent="0.3">
      <c r="A3" s="2"/>
      <c r="J3" t="s">
        <v>63</v>
      </c>
    </row>
    <row r="5" spans="1:14" x14ac:dyDescent="0.3">
      <c r="A5" s="3"/>
      <c r="B5" s="4"/>
      <c r="C5" s="244" t="s">
        <v>15</v>
      </c>
      <c r="D5" s="250"/>
      <c r="E5" s="250"/>
      <c r="F5" s="7"/>
      <c r="G5" s="7" t="s">
        <v>54</v>
      </c>
      <c r="J5" s="2" t="s">
        <v>55</v>
      </c>
      <c r="K5" s="2"/>
      <c r="L5" s="2"/>
      <c r="M5" s="2"/>
      <c r="N5" s="2"/>
    </row>
    <row r="6" spans="1:14" x14ac:dyDescent="0.3">
      <c r="A6" s="251" t="s">
        <v>14</v>
      </c>
      <c r="B6" s="252"/>
      <c r="C6" s="77" t="s">
        <v>0</v>
      </c>
      <c r="D6" s="77" t="s">
        <v>1</v>
      </c>
      <c r="E6" s="77" t="s">
        <v>2</v>
      </c>
      <c r="F6" s="8" t="s">
        <v>3</v>
      </c>
      <c r="G6" s="9" t="s">
        <v>56</v>
      </c>
      <c r="J6" s="253" t="s">
        <v>14</v>
      </c>
      <c r="K6" s="254"/>
      <c r="L6" s="244" t="s">
        <v>15</v>
      </c>
      <c r="M6" s="250"/>
      <c r="N6" s="245"/>
    </row>
    <row r="7" spans="1:14" ht="14.55" customHeight="1" x14ac:dyDescent="0.3">
      <c r="A7" s="242" t="s">
        <v>18</v>
      </c>
      <c r="B7" s="243"/>
      <c r="C7" s="12">
        <v>0</v>
      </c>
      <c r="D7" s="12">
        <v>0</v>
      </c>
      <c r="E7" s="12">
        <v>180</v>
      </c>
      <c r="F7" s="10">
        <v>180</v>
      </c>
      <c r="G7" s="11">
        <f t="shared" ref="G7:G13" si="0">SUM(C7:E7)</f>
        <v>180</v>
      </c>
      <c r="J7" s="251"/>
      <c r="K7" s="252"/>
      <c r="L7" s="5" t="s">
        <v>0</v>
      </c>
      <c r="M7" s="16" t="s">
        <v>17</v>
      </c>
      <c r="N7" s="16" t="s">
        <v>2</v>
      </c>
    </row>
    <row r="8" spans="1:14" x14ac:dyDescent="0.3">
      <c r="A8" s="240" t="s">
        <v>20</v>
      </c>
      <c r="B8" s="241"/>
      <c r="C8" s="12">
        <v>0</v>
      </c>
      <c r="D8" s="12">
        <v>200</v>
      </c>
      <c r="E8" s="12">
        <v>0</v>
      </c>
      <c r="F8" s="10">
        <v>200</v>
      </c>
      <c r="G8" s="11">
        <f t="shared" si="0"/>
        <v>200</v>
      </c>
      <c r="J8" s="242" t="s">
        <v>18</v>
      </c>
      <c r="K8" s="243"/>
      <c r="L8" s="10">
        <v>162</v>
      </c>
      <c r="M8" s="10">
        <v>141</v>
      </c>
      <c r="N8" s="10">
        <v>126</v>
      </c>
    </row>
    <row r="9" spans="1:14" ht="14.55" customHeight="1" x14ac:dyDescent="0.3">
      <c r="A9" s="240" t="s">
        <v>22</v>
      </c>
      <c r="B9" s="241"/>
      <c r="C9" s="12">
        <v>130</v>
      </c>
      <c r="D9" s="12">
        <v>20</v>
      </c>
      <c r="E9" s="12">
        <v>0</v>
      </c>
      <c r="F9" s="10">
        <v>150</v>
      </c>
      <c r="G9" s="11">
        <f t="shared" si="0"/>
        <v>150</v>
      </c>
      <c r="J9" s="240" t="s">
        <v>20</v>
      </c>
      <c r="K9" s="241"/>
      <c r="L9" s="10">
        <v>267</v>
      </c>
      <c r="M9" s="10">
        <v>258</v>
      </c>
      <c r="N9" s="10">
        <v>264</v>
      </c>
    </row>
    <row r="10" spans="1:14" x14ac:dyDescent="0.3">
      <c r="A10" s="240" t="s">
        <v>24</v>
      </c>
      <c r="B10" s="241"/>
      <c r="C10" s="12">
        <v>30</v>
      </c>
      <c r="D10" s="12">
        <v>0</v>
      </c>
      <c r="E10" s="12">
        <v>170</v>
      </c>
      <c r="F10" s="10">
        <v>200</v>
      </c>
      <c r="G10" s="11">
        <f t="shared" si="0"/>
        <v>200</v>
      </c>
      <c r="J10" s="240" t="s">
        <v>22</v>
      </c>
      <c r="K10" s="241"/>
      <c r="L10" s="10">
        <v>243</v>
      </c>
      <c r="M10" s="10">
        <v>237</v>
      </c>
      <c r="N10" s="10">
        <v>240</v>
      </c>
    </row>
    <row r="11" spans="1:14" ht="14.55" customHeight="1" x14ac:dyDescent="0.3">
      <c r="A11" s="240" t="s">
        <v>26</v>
      </c>
      <c r="B11" s="241"/>
      <c r="C11" s="12">
        <v>140</v>
      </c>
      <c r="D11" s="12">
        <v>0</v>
      </c>
      <c r="E11" s="12">
        <v>0</v>
      </c>
      <c r="F11" s="10">
        <v>140</v>
      </c>
      <c r="G11" s="11">
        <f t="shared" si="0"/>
        <v>140</v>
      </c>
      <c r="J11" s="240" t="s">
        <v>24</v>
      </c>
      <c r="K11" s="241"/>
      <c r="L11" s="10">
        <v>261</v>
      </c>
      <c r="M11" s="10">
        <v>255</v>
      </c>
      <c r="N11" s="10">
        <v>252</v>
      </c>
    </row>
    <row r="12" spans="1:14" x14ac:dyDescent="0.3">
      <c r="A12" s="240" t="s">
        <v>28</v>
      </c>
      <c r="B12" s="241"/>
      <c r="C12" s="12">
        <v>0</v>
      </c>
      <c r="D12" s="12">
        <v>80</v>
      </c>
      <c r="E12" s="12">
        <v>0</v>
      </c>
      <c r="F12" s="10">
        <v>80</v>
      </c>
      <c r="G12" s="11">
        <f t="shared" si="0"/>
        <v>80</v>
      </c>
      <c r="J12" s="240" t="s">
        <v>26</v>
      </c>
      <c r="K12" s="241"/>
      <c r="L12" s="10">
        <v>471</v>
      </c>
      <c r="M12" s="10">
        <v>468</v>
      </c>
      <c r="N12" s="10">
        <v>474</v>
      </c>
    </row>
    <row r="13" spans="1:14" x14ac:dyDescent="0.3">
      <c r="A13" s="240" t="s">
        <v>61</v>
      </c>
      <c r="B13" s="241"/>
      <c r="C13" s="12">
        <v>50</v>
      </c>
      <c r="D13" s="12">
        <v>0</v>
      </c>
      <c r="E13" s="12">
        <v>0</v>
      </c>
      <c r="F13" s="10">
        <v>50</v>
      </c>
      <c r="G13" s="11">
        <f t="shared" si="0"/>
        <v>50</v>
      </c>
      <c r="J13" s="240" t="s">
        <v>28</v>
      </c>
      <c r="K13" s="241"/>
      <c r="L13" s="10">
        <v>84</v>
      </c>
      <c r="M13" s="10">
        <v>78</v>
      </c>
      <c r="N13" s="10">
        <v>81</v>
      </c>
    </row>
    <row r="14" spans="1:14" ht="14.55" customHeight="1" x14ac:dyDescent="0.3">
      <c r="A14" s="246" t="s">
        <v>12</v>
      </c>
      <c r="B14" s="247"/>
      <c r="C14" s="13">
        <v>350</v>
      </c>
      <c r="D14" s="10">
        <v>300</v>
      </c>
      <c r="E14" s="14">
        <v>350</v>
      </c>
      <c r="F14" s="10">
        <f>SUM(F7:F13)</f>
        <v>1000</v>
      </c>
      <c r="G14" s="15"/>
      <c r="J14" s="255" t="s">
        <v>61</v>
      </c>
      <c r="K14" s="255"/>
      <c r="L14" s="78">
        <v>600</v>
      </c>
      <c r="M14" s="78">
        <v>600</v>
      </c>
      <c r="N14" s="78">
        <v>600</v>
      </c>
    </row>
    <row r="15" spans="1:14" x14ac:dyDescent="0.3">
      <c r="A15" s="248" t="s">
        <v>57</v>
      </c>
      <c r="B15" s="249"/>
      <c r="C15" s="11">
        <f>SUM(C7:C13)</f>
        <v>350</v>
      </c>
      <c r="D15" s="11">
        <f>SUM(D7:D13)</f>
        <v>300</v>
      </c>
      <c r="E15" s="11">
        <f>SUM(E7:E13)</f>
        <v>350</v>
      </c>
      <c r="F15" s="1"/>
      <c r="G15" s="1"/>
    </row>
    <row r="16" spans="1:14" ht="14.55" customHeight="1" x14ac:dyDescent="0.3">
      <c r="A16" s="244" t="s">
        <v>58</v>
      </c>
      <c r="B16" s="245"/>
      <c r="C16" s="15">
        <f>SUMPRODUCT(C7:E13,L8:N14)</f>
        <v>263460</v>
      </c>
      <c r="D16" s="1"/>
      <c r="E16" s="1"/>
      <c r="F16" s="1"/>
      <c r="G16" s="1"/>
    </row>
  </sheetData>
  <mergeCells count="21">
    <mergeCell ref="C5:E5"/>
    <mergeCell ref="A6:B6"/>
    <mergeCell ref="J6:K7"/>
    <mergeCell ref="L6:N6"/>
    <mergeCell ref="A7:B7"/>
    <mergeCell ref="A9:B9"/>
    <mergeCell ref="J9:K9"/>
    <mergeCell ref="A10:B10"/>
    <mergeCell ref="J10:K10"/>
    <mergeCell ref="A8:B8"/>
    <mergeCell ref="J8:K8"/>
    <mergeCell ref="A11:B11"/>
    <mergeCell ref="J11:K11"/>
    <mergeCell ref="A15:B15"/>
    <mergeCell ref="A16:B16"/>
    <mergeCell ref="A12:B12"/>
    <mergeCell ref="J12:K12"/>
    <mergeCell ref="A13:B13"/>
    <mergeCell ref="J13:K13"/>
    <mergeCell ref="A14:B14"/>
    <mergeCell ref="J14:K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41FD-5585-4DF2-AF3B-277EBCF6714F}">
  <dimension ref="B2:F9"/>
  <sheetViews>
    <sheetView tabSelected="1" workbookViewId="0">
      <selection activeCell="F10" sqref="F10"/>
    </sheetView>
  </sheetViews>
  <sheetFormatPr defaultRowHeight="14.4" x14ac:dyDescent="0.3"/>
  <cols>
    <col min="2" max="2" width="16.21875" customWidth="1"/>
    <col min="3" max="3" width="14.5546875" customWidth="1"/>
    <col min="4" max="4" width="17.88671875" customWidth="1"/>
    <col min="5" max="5" width="13.21875" customWidth="1"/>
    <col min="6" max="6" width="15.44140625" customWidth="1"/>
  </cols>
  <sheetData>
    <row r="2" spans="2:6" x14ac:dyDescent="0.3">
      <c r="B2" s="17"/>
      <c r="C2" s="79" t="s">
        <v>64</v>
      </c>
      <c r="D2" s="79" t="s">
        <v>65</v>
      </c>
      <c r="E2" s="79" t="s">
        <v>66</v>
      </c>
      <c r="F2" s="79" t="s">
        <v>67</v>
      </c>
    </row>
    <row r="3" spans="2:6" x14ac:dyDescent="0.3">
      <c r="B3" s="79" t="s">
        <v>13</v>
      </c>
      <c r="C3" s="80">
        <v>254190</v>
      </c>
      <c r="D3" s="80">
        <v>247290</v>
      </c>
      <c r="E3" s="80">
        <v>246720</v>
      </c>
      <c r="F3" s="80">
        <v>246660</v>
      </c>
    </row>
    <row r="8" spans="2:6" x14ac:dyDescent="0.3">
      <c r="B8" s="17"/>
      <c r="C8" s="79" t="s">
        <v>70</v>
      </c>
      <c r="D8" s="79" t="s">
        <v>68</v>
      </c>
      <c r="E8" s="79" t="s">
        <v>69</v>
      </c>
    </row>
    <row r="9" spans="2:6" x14ac:dyDescent="0.3">
      <c r="B9" s="17" t="s">
        <v>58</v>
      </c>
      <c r="C9" s="80">
        <v>246660</v>
      </c>
      <c r="D9" s="80">
        <v>306060</v>
      </c>
      <c r="E9" s="80">
        <v>263460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Northwest_Corner_Method</vt:lpstr>
      <vt:lpstr>Least_Cost_Method</vt:lpstr>
      <vt:lpstr>Vogel_Approximation_Method</vt:lpstr>
      <vt:lpstr>Excel_Solver_Base_Case</vt:lpstr>
      <vt:lpstr>Excel_Solver_Demand_Increase</vt:lpstr>
      <vt:lpstr>Excel_Solver_Supply_Reduction</vt:lpstr>
      <vt:lpstr>Method_Comparison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 ADRIANA BATRISYIA BINTI MOHD SUBRI MCS241007</dc:creator>
  <cp:keywords/>
  <dc:description/>
  <cp:lastModifiedBy>NUR ADRIANA BATRISYIA BINTI MOHD SUBRI MCS241007</cp:lastModifiedBy>
  <cp:revision/>
  <dcterms:created xsi:type="dcterms:W3CDTF">2025-06-17T13:40:20Z</dcterms:created>
  <dcterms:modified xsi:type="dcterms:W3CDTF">2026-01-20T16:15:04Z</dcterms:modified>
  <cp:category/>
  <cp:contentStatus/>
</cp:coreProperties>
</file>